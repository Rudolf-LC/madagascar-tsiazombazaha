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réinventaireTsiazombazaha" sheetId="1" state="visible" r:id="rId3"/>
    <sheet name="preinventaire2" sheetId="2" state="visible" r:id="rId4"/>
    <sheet name="florePivot" sheetId="3" state="visible" r:id="rId5"/>
    <sheet name="metadonnees" sheetId="4" state="visible" r:id="rId6"/>
    <sheet name="placette" sheetId="5" state="visible" r:id="rId7"/>
    <sheet name="ecologiePlacette" sheetId="6" state="visible" r:id="rId8"/>
    <sheet name="flore" sheetId="7" state="visible" r:id="rId9"/>
    <sheet name="regeneration" sheetId="8" state="visible" r:id="rId10"/>
    <sheet name="nomsLatinGasy" sheetId="9" state="visible" r:id="rId11"/>
    <sheet name="caracArboree" sheetId="10" state="visible" r:id="rId12"/>
    <sheet name="usages" sheetId="11" state="visible" r:id="rId13"/>
  </sheets>
  <definedNames>
    <definedName function="false" hidden="true" localSheetId="9" name="_xlnm._FilterDatabase" vbProcedure="false">caracArboree!$A$1:$AI$9</definedName>
    <definedName function="false" hidden="true" localSheetId="5" name="_xlnm._FilterDatabase" vbProcedure="false">ecologiePlacette!$A$1:$K$9</definedName>
    <definedName function="false" hidden="true" localSheetId="6" name="_xlnm._FilterDatabase" vbProcedure="false">flore!$A$1:$K$1590</definedName>
    <definedName function="false" hidden="true" localSheetId="8" name="_xlnm._FilterDatabase" vbProcedure="false">nomsLatinGasy!$A$1:$D$1597</definedName>
    <definedName function="false" hidden="true" localSheetId="7" name="_xlnm._FilterDatabase" vbProcedure="false">regeneration!$A$1:$F$122</definedName>
  </definedNames>
  <calcPr iterateCount="100" refMode="A1" iterate="false" iterateDelta="0.0001"/>
  <pivotCaches>
    <pivotCache cacheId="1" r:id="rId1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<sst xmlns="http://schemas.openxmlformats.org/spreadsheetml/2006/main" count="11283" uniqueCount="604">
  <si>
    <t xml:space="preserve">DBH</t>
  </si>
  <si>
    <t xml:space="preserve">NB </t>
  </si>
  <si>
    <t xml:space="preserve">G</t>
  </si>
  <si>
    <t xml:space="preserve">CIRC</t>
  </si>
  <si>
    <t xml:space="preserve">DBH précomptage</t>
  </si>
  <si>
    <t xml:space="preserve">N320</t>
  </si>
  <si>
    <t xml:space="preserve">G320</t>
  </si>
  <si>
    <t xml:space="preserve">Gha</t>
  </si>
  <si>
    <t xml:space="preserve">G%</t>
  </si>
  <si>
    <t xml:space="preserve">Nha</t>
  </si>
  <si>
    <t xml:space="preserve">N%</t>
  </si>
  <si>
    <t xml:space="preserve">circ130</t>
  </si>
  <si>
    <t xml:space="preserve">n320</t>
  </si>
  <si>
    <t xml:space="preserve">%N320</t>
  </si>
  <si>
    <t xml:space="preserve">%N320 non-comptées</t>
  </si>
  <si>
    <t xml:space="preserve">%G320</t>
  </si>
  <si>
    <t xml:space="preserve">somme %G320</t>
  </si>
  <si>
    <t xml:space="preserve">D130</t>
  </si>
  <si>
    <t xml:space="preserve">Circonférence(cm)</t>
  </si>
  <si>
    <t xml:space="preserve">- multiple -</t>
  </si>
  <si>
    <t xml:space="preserve">Transect</t>
  </si>
  <si>
    <t xml:space="preserve">Count of Circonférence(cm)</t>
  </si>
  <si>
    <t xml:space="preserve">Total Résultat</t>
  </si>
  <si>
    <t xml:space="preserve">Feuille</t>
  </si>
  <si>
    <t xml:space="preserve">Description générale</t>
  </si>
  <si>
    <t xml:space="preserve">Description en détail</t>
  </si>
  <si>
    <t xml:space="preserve">TRregen</t>
  </si>
  <si>
    <t xml:space="preserve">Ensemble des individus relevés sur les placettes de 2m² x2 par transect</t>
  </si>
  <si>
    <r>
      <rPr>
        <sz val="11"/>
        <color theme="1"/>
        <rFont val="Aptos Narrow"/>
        <family val="2"/>
        <charset val="1"/>
      </rPr>
      <t xml:space="preserve">Classé par </t>
    </r>
    <r>
      <rPr>
        <b val="true"/>
        <sz val="11"/>
        <color theme="1"/>
        <rFont val="Aptos Narrow"/>
        <family val="2"/>
        <charset val="1"/>
      </rPr>
      <t xml:space="preserve">transect</t>
    </r>
    <r>
      <rPr>
        <sz val="11"/>
        <color theme="1"/>
        <rFont val="Aptos Narrow"/>
        <family val="2"/>
        <charset val="1"/>
      </rPr>
      <t xml:space="preserve"> et </t>
    </r>
    <r>
      <rPr>
        <b val="true"/>
        <sz val="11"/>
        <color theme="1"/>
        <rFont val="Aptos Narrow"/>
        <family val="2"/>
        <charset val="1"/>
      </rPr>
      <t xml:space="preserve">reliquat,</t>
    </r>
    <r>
      <rPr>
        <sz val="11"/>
        <color theme="1"/>
        <rFont val="Aptos Narrow"/>
        <family val="2"/>
        <charset val="1"/>
      </rPr>
      <t xml:space="preserve"> en indiquant le </t>
    </r>
    <r>
      <rPr>
        <b val="true"/>
        <sz val="11"/>
        <color theme="1"/>
        <rFont val="Aptos Narrow"/>
        <family val="2"/>
        <charset val="1"/>
      </rPr>
      <t xml:space="preserve">milieuType</t>
    </r>
    <r>
      <rPr>
        <sz val="11"/>
        <color theme="1"/>
        <rFont val="Aptos Narrow"/>
        <family val="2"/>
        <charset val="1"/>
      </rPr>
      <t xml:space="preserve"> de la forêt correspondant (Zone protégé et les zones de prélèvement), chaque ligne correspond à un type de plante relevés distingué par </t>
    </r>
    <r>
      <rPr>
        <b val="true"/>
        <sz val="11"/>
        <color theme="1"/>
        <rFont val="Aptos Narrow"/>
        <family val="2"/>
        <charset val="1"/>
      </rPr>
      <t xml:space="preserve">nom gasy</t>
    </r>
    <r>
      <rPr>
        <sz val="11"/>
        <color theme="1"/>
        <rFont val="Aptos Narrow"/>
        <family val="2"/>
        <charset val="1"/>
      </rPr>
      <t xml:space="preserve"> puis identifié par </t>
    </r>
    <r>
      <rPr>
        <b val="true"/>
        <sz val="11"/>
        <color theme="1"/>
        <rFont val="Aptos Narrow"/>
        <family val="2"/>
        <charset val="1"/>
      </rPr>
      <t xml:space="preserve">nom latin</t>
    </r>
    <r>
      <rPr>
        <sz val="11"/>
        <color theme="1"/>
        <rFont val="Aptos Narrow"/>
        <family val="2"/>
        <charset val="1"/>
      </rPr>
      <t xml:space="preserve">, le nombre de chaque individu rencontré est indique par la colonne </t>
    </r>
    <r>
      <rPr>
        <b val="true"/>
        <sz val="11"/>
        <color theme="1"/>
        <rFont val="Aptos Narrow"/>
        <family val="2"/>
        <charset val="1"/>
      </rPr>
      <t xml:space="preserve">nombre</t>
    </r>
    <r>
      <rPr>
        <sz val="11"/>
        <color theme="1"/>
        <rFont val="Aptos Narrow"/>
        <family val="2"/>
        <charset val="1"/>
      </rPr>
      <t xml:space="preserve">.</t>
    </r>
  </si>
  <si>
    <t xml:space="preserve">TRflo</t>
  </si>
  <si>
    <t xml:space="preserve">Ensemble des individus relevés sur les placettes de 40m²  (10x4m)par transect</t>
  </si>
  <si>
    <r>
      <rPr>
        <sz val="11"/>
        <color theme="1"/>
        <rFont val="Aptos Narrow"/>
        <family val="2"/>
        <charset val="1"/>
      </rPr>
      <t xml:space="preserve">Classé comme Trregen, ici chaque ligne correspondant à un individu ou la hauteur (</t>
    </r>
    <r>
      <rPr>
        <b val="true"/>
        <sz val="11"/>
        <color theme="1"/>
        <rFont val="Aptos Narrow"/>
        <family val="2"/>
        <charset val="1"/>
      </rPr>
      <t xml:space="preserve">Hauteur m</t>
    </r>
    <r>
      <rPr>
        <sz val="11"/>
        <color theme="1"/>
        <rFont val="Aptos Narrow"/>
        <family val="2"/>
        <charset val="1"/>
      </rPr>
      <t xml:space="preserve">), l'</t>
    </r>
    <r>
      <rPr>
        <b val="true"/>
        <sz val="11"/>
        <color theme="1"/>
        <rFont val="Aptos Narrow"/>
        <family val="2"/>
        <charset val="1"/>
      </rPr>
      <t xml:space="preserve">état de santé</t>
    </r>
    <r>
      <rPr>
        <sz val="11"/>
        <color theme="1"/>
        <rFont val="Aptos Narrow"/>
        <family val="2"/>
        <charset val="1"/>
      </rPr>
      <t xml:space="preserve">, la </t>
    </r>
    <r>
      <rPr>
        <b val="true"/>
        <sz val="11"/>
        <color theme="1"/>
        <rFont val="Aptos Narrow"/>
        <family val="2"/>
        <charset val="1"/>
      </rPr>
      <t xml:space="preserve">circonférence</t>
    </r>
    <r>
      <rPr>
        <sz val="11"/>
        <color theme="1"/>
        <rFont val="Aptos Narrow"/>
        <family val="2"/>
        <charset val="1"/>
      </rPr>
      <t xml:space="preserve"> dont est tiré le diamètre (</t>
    </r>
    <r>
      <rPr>
        <b val="true"/>
        <sz val="11"/>
        <color theme="1"/>
        <rFont val="Aptos Narrow"/>
        <family val="2"/>
        <charset val="1"/>
      </rPr>
      <t xml:space="preserve">DBH cm</t>
    </r>
    <r>
      <rPr>
        <sz val="11"/>
        <color theme="1"/>
        <rFont val="Aptos Narrow"/>
        <family val="2"/>
        <charset val="1"/>
      </rPr>
      <t xml:space="preserve">). L'</t>
    </r>
    <r>
      <rPr>
        <b val="true"/>
        <sz val="11"/>
        <color theme="1"/>
        <rFont val="Aptos Narrow"/>
        <family val="2"/>
        <charset val="1"/>
      </rPr>
      <t xml:space="preserve">usage</t>
    </r>
    <r>
      <rPr>
        <sz val="11"/>
        <color theme="1"/>
        <rFont val="Aptos Narrow"/>
        <family val="2"/>
        <charset val="1"/>
      </rPr>
      <t xml:space="preserve"> donné par le polisin'Ala lors des mesures de chaque plante est aussi indiqué, ainsi que le </t>
    </r>
    <r>
      <rPr>
        <b val="true"/>
        <sz val="11"/>
        <color theme="1"/>
        <rFont val="Aptos Narrow"/>
        <family val="2"/>
        <charset val="1"/>
      </rPr>
      <t xml:space="preserve">statut IUCN</t>
    </r>
    <r>
      <rPr>
        <sz val="11"/>
        <color theme="1"/>
        <rFont val="Aptos Narrow"/>
        <family val="2"/>
        <charset val="1"/>
      </rPr>
      <t xml:space="preserve"> de chaque espèce, genre ou famille botanique qui a pu être identifié.</t>
    </r>
  </si>
  <si>
    <t xml:space="preserve">info écolo</t>
  </si>
  <si>
    <t xml:space="preserve">Ensemble des variables générales et d'identification des transects réalisiés </t>
  </si>
  <si>
    <t xml:space="preserve">Ensemble des variables écologiques mesurées (Nbr Strate, Carac Arborée, Carac arbustive, Carac herbacée, hauteur strate 1 et 2, type sol,  rec canopé, rec sol, Etat général et remarque) relevés lors de chaque transect et information de localisation ( Transect, MilieuType, Reliquat, Altitude, Latitude, Longitude)</t>
  </si>
  <si>
    <t xml:space="preserve">Caracarborée</t>
  </si>
  <si>
    <t xml:space="preserve">Abres dominant par transect, pour connaitre les espèces encore large et haute dans le reliquat</t>
  </si>
  <si>
    <r>
      <rPr>
        <sz val="11"/>
        <color theme="1"/>
        <rFont val="Aptos Narrow"/>
        <family val="2"/>
        <charset val="1"/>
      </rPr>
      <t xml:space="preserve">Classé par </t>
    </r>
    <r>
      <rPr>
        <b val="true"/>
        <sz val="11"/>
        <color theme="1"/>
        <rFont val="Aptos Narrow"/>
        <family val="2"/>
        <charset val="1"/>
      </rPr>
      <t xml:space="preserve">transect</t>
    </r>
    <r>
      <rPr>
        <sz val="11"/>
        <color theme="1"/>
        <rFont val="Aptos Narrow"/>
        <family val="2"/>
        <charset val="1"/>
      </rPr>
      <t xml:space="preserve">, </t>
    </r>
    <r>
      <rPr>
        <b val="true"/>
        <sz val="11"/>
        <color theme="1"/>
        <rFont val="Aptos Narrow"/>
        <family val="2"/>
        <charset val="1"/>
      </rPr>
      <t xml:space="preserve">reliquat</t>
    </r>
    <r>
      <rPr>
        <sz val="11"/>
        <color theme="1"/>
        <rFont val="Aptos Narrow"/>
        <family val="2"/>
        <charset val="1"/>
      </rPr>
      <t xml:space="preserve"> et </t>
    </r>
    <r>
      <rPr>
        <b val="true"/>
        <sz val="11"/>
        <color theme="1"/>
        <rFont val="Aptos Narrow"/>
        <family val="2"/>
        <charset val="1"/>
      </rPr>
      <t xml:space="preserve">milieuType</t>
    </r>
    <r>
      <rPr>
        <sz val="11"/>
        <color theme="1"/>
        <rFont val="Aptos Narrow"/>
        <family val="2"/>
        <charset val="1"/>
      </rPr>
      <t xml:space="preserve">. Les </t>
    </r>
    <r>
      <rPr>
        <b val="true"/>
        <sz val="11"/>
        <color theme="1"/>
        <rFont val="Aptos Narrow"/>
        <family val="2"/>
        <charset val="1"/>
      </rPr>
      <t xml:space="preserve">espèces</t>
    </r>
    <r>
      <rPr>
        <sz val="11"/>
        <color theme="1"/>
        <rFont val="Aptos Narrow"/>
        <family val="2"/>
        <charset val="1"/>
      </rPr>
      <t xml:space="preserve"> sont en colonnes et les </t>
    </r>
    <r>
      <rPr>
        <b val="true"/>
        <sz val="11"/>
        <color theme="1"/>
        <rFont val="Aptos Narrow"/>
        <family val="2"/>
        <charset val="1"/>
      </rPr>
      <t xml:space="preserve">transects</t>
    </r>
    <r>
      <rPr>
        <sz val="11"/>
        <color theme="1"/>
        <rFont val="Aptos Narrow"/>
        <family val="2"/>
        <charset val="1"/>
      </rPr>
      <t xml:space="preserve"> en ligne. Un 1 correspond à une présence, un 0 à une absence.</t>
    </r>
  </si>
  <si>
    <t xml:space="preserve">Compilation</t>
  </si>
  <si>
    <t xml:space="preserve">Liste des espèces triés par nom latin</t>
  </si>
  <si>
    <r>
      <rPr>
        <sz val="11"/>
        <color theme="1"/>
        <rFont val="Aptos Narrow"/>
        <family val="2"/>
        <charset val="1"/>
      </rPr>
      <t xml:space="preserve">Chaque espèce avec </t>
    </r>
    <r>
      <rPr>
        <b val="true"/>
        <sz val="11"/>
        <color theme="1"/>
        <rFont val="Aptos Narrow"/>
        <family val="2"/>
        <charset val="1"/>
      </rPr>
      <t xml:space="preserve">nom latin</t>
    </r>
    <r>
      <rPr>
        <sz val="11"/>
        <color theme="1"/>
        <rFont val="Aptos Narrow"/>
        <family val="2"/>
        <charset val="1"/>
      </rPr>
      <t xml:space="preserve"> est liée à sa </t>
    </r>
    <r>
      <rPr>
        <b val="true"/>
        <sz val="11"/>
        <color theme="1"/>
        <rFont val="Aptos Narrow"/>
        <family val="2"/>
        <charset val="1"/>
      </rPr>
      <t xml:space="preserve">famille</t>
    </r>
    <r>
      <rPr>
        <sz val="11"/>
        <color theme="1"/>
        <rFont val="Aptos Narrow"/>
        <family val="2"/>
        <charset val="1"/>
      </rPr>
      <t xml:space="preserve"> et son</t>
    </r>
    <r>
      <rPr>
        <b val="true"/>
        <sz val="11"/>
        <color theme="1"/>
        <rFont val="Aptos Narrow"/>
        <family val="2"/>
        <charset val="1"/>
      </rPr>
      <t xml:space="preserve"> statut IUCN, </t>
    </r>
    <r>
      <rPr>
        <sz val="11"/>
        <color theme="1"/>
        <rFont val="Aptos Narrow"/>
        <family val="2"/>
        <charset val="1"/>
      </rPr>
      <t xml:space="preserve">différent </t>
    </r>
    <r>
      <rPr>
        <b val="true"/>
        <sz val="11"/>
        <color theme="1"/>
        <rFont val="Aptos Narrow"/>
        <family val="2"/>
        <charset val="1"/>
      </rPr>
      <t xml:space="preserve">nom gasy</t>
    </r>
    <r>
      <rPr>
        <sz val="11"/>
        <color theme="1"/>
        <rFont val="Aptos Narrow"/>
        <family val="2"/>
        <charset val="1"/>
      </rPr>
      <t xml:space="preserve"> peuvent être liée au même nom latin</t>
    </r>
  </si>
  <si>
    <t xml:space="preserve">Usage</t>
  </si>
  <si>
    <t xml:space="preserve">Liste des nom gasy avec leurs usages respectifs</t>
  </si>
  <si>
    <r>
      <rPr>
        <sz val="11"/>
        <color theme="1"/>
        <rFont val="Aptos Narrow"/>
        <family val="2"/>
        <charset val="1"/>
      </rPr>
      <t xml:space="preserve">Lors des relevés et des entretiens, l'</t>
    </r>
    <r>
      <rPr>
        <b val="true"/>
        <sz val="11"/>
        <color theme="1"/>
        <rFont val="Aptos Narrow"/>
        <family val="2"/>
        <charset val="1"/>
      </rPr>
      <t xml:space="preserve">usage</t>
    </r>
    <r>
      <rPr>
        <sz val="11"/>
        <color theme="1"/>
        <rFont val="Aptos Narrow"/>
        <family val="2"/>
        <charset val="1"/>
      </rPr>
      <t xml:space="preserve"> respectif de chaque espèce évoqués a été compilés dans ce tableau</t>
    </r>
  </si>
  <si>
    <t xml:space="preserve">Brouillon</t>
  </si>
  <si>
    <t xml:space="preserve">Formule et manipulation pour la création des autres base de données</t>
  </si>
  <si>
    <t xml:space="preserve">code</t>
  </si>
  <si>
    <t xml:space="preserve">etude</t>
  </si>
  <si>
    <t xml:space="preserve">date</t>
  </si>
  <si>
    <t xml:space="preserve">latitude</t>
  </si>
  <si>
    <t xml:space="preserve">longitude</t>
  </si>
  <si>
    <t xml:space="preserve">altitude</t>
  </si>
  <si>
    <t xml:space="preserve">chercheur</t>
  </si>
  <si>
    <t xml:space="preserve">guide</t>
  </si>
  <si>
    <t xml:space="preserve">traducteur</t>
  </si>
  <si>
    <t xml:space="preserve">Romiguière, 2025</t>
  </si>
  <si>
    <t xml:space="preserve">Romiguière, Felix</t>
  </si>
  <si>
    <t xml:space="preserve">Randrianantenaina</t>
  </si>
  <si>
    <t xml:space="preserve">Marcelin</t>
  </si>
  <si>
    <t xml:space="preserve">Mazakavelo</t>
  </si>
  <si>
    <t xml:space="preserve">Bonaventure</t>
  </si>
  <si>
    <t xml:space="preserve">Babajosia</t>
  </si>
  <si>
    <t xml:space="preserve">Milieux Type</t>
  </si>
  <si>
    <t xml:space="preserve">Nbr strate</t>
  </si>
  <si>
    <t xml:space="preserve">Carac arborée</t>
  </si>
  <si>
    <t xml:space="preserve">Carac arbustive</t>
  </si>
  <si>
    <t xml:space="preserve">Carac herbacée</t>
  </si>
  <si>
    <t xml:space="preserve">Hauteur strate arborée (m)</t>
  </si>
  <si>
    <t xml:space="preserve">Type sol</t>
  </si>
  <si>
    <t xml:space="preserve">Rec canopée (%)</t>
  </si>
  <si>
    <t xml:space="preserve">Rec sol (%)</t>
  </si>
  <si>
    <t xml:space="preserve">Etat général et remarque</t>
  </si>
  <si>
    <t xml:space="preserve">Ambalavolo</t>
  </si>
  <si>
    <t xml:space="preserve">Fadriamacanga</t>
  </si>
  <si>
    <t xml:space="preserve">na</t>
  </si>
  <si>
    <t xml:space="preserve">Limon, brun et humide</t>
  </si>
  <si>
    <t xml:space="preserve">Envahit de liane, herbe et régen au sol, fermé par arbustive</t>
  </si>
  <si>
    <t xml:space="preserve">Elatrangidina, Menahihy</t>
  </si>
  <si>
    <t xml:space="preserve">Ravinala</t>
  </si>
  <si>
    <t xml:space="preserve">Palmier, voatrotrokala</t>
  </si>
  <si>
    <t xml:space="preserve">Marron foncé, limon peu humide</t>
  </si>
  <si>
    <t xml:space="preserve">Herbe au sol, regen palmier et coupe d'arbre</t>
  </si>
  <si>
    <t xml:space="preserve">Forêt protégée</t>
  </si>
  <si>
    <t xml:space="preserve">Ravenala, babona, Tavia</t>
  </si>
  <si>
    <t xml:space="preserve">Abre natif</t>
  </si>
  <si>
    <t xml:space="preserve">Regen native, hasina</t>
  </si>
  <si>
    <t xml:space="preserve">Limon brun foncé</t>
  </si>
  <si>
    <t xml:space="preserve">Grosse strate arbustive, ravenala et bien fermée</t>
  </si>
  <si>
    <t xml:space="preserve">Marobody</t>
  </si>
  <si>
    <t xml:space="preserve">Voatrotrokala, palmier hasina</t>
  </si>
  <si>
    <t xml:space="preserve">Limon brun foncé, littière</t>
  </si>
  <si>
    <t xml:space="preserve">Gros abre morte, trace coupe, milieux ouvret par ouverture canopée</t>
  </si>
  <si>
    <t xml:space="preserve">AndasyVazaha</t>
  </si>
  <si>
    <t xml:space="preserve">Hazomainty</t>
  </si>
  <si>
    <t xml:space="preserve">Arbre natif</t>
  </si>
  <si>
    <t xml:space="preserve">Palmier</t>
  </si>
  <si>
    <t xml:space="preserve">Beaucoup petit arbre, grosse canopée et peu d'arbuste</t>
  </si>
  <si>
    <t xml:space="preserve">Kabokala</t>
  </si>
  <si>
    <t xml:space="preserve">Natif, palmier</t>
  </si>
  <si>
    <t xml:space="preserve">Natif, palmier, seky</t>
  </si>
  <si>
    <t xml:space="preserve">Ouvert par chablis, peu d'arbre en général</t>
  </si>
  <si>
    <t xml:space="preserve">Bevoatavy</t>
  </si>
  <si>
    <t xml:space="preserve">Madiorano, Raharaha</t>
  </si>
  <si>
    <t xml:space="preserve">Palmier, arbre natif</t>
  </si>
  <si>
    <t xml:space="preserve">Bon état, grosse canopée, pas d'espèce invasive, pas encore de grosgros abre</t>
  </si>
  <si>
    <t xml:space="preserve">Babona</t>
  </si>
  <si>
    <t xml:space="preserve">Tsirikala, arbre natif</t>
  </si>
  <si>
    <t xml:space="preserve">Voatrotrokala, Seky</t>
  </si>
  <si>
    <t xml:space="preserve">Chablis batserai, régénération non négligeable</t>
  </si>
  <si>
    <t xml:space="preserve">MilieuType</t>
  </si>
  <si>
    <t xml:space="preserve">Nom Gasy</t>
  </si>
  <si>
    <t xml:space="preserve">Nom latin</t>
  </si>
  <si>
    <t xml:space="preserve">Famille</t>
  </si>
  <si>
    <t xml:space="preserve">Statut IUCN</t>
  </si>
  <si>
    <t xml:space="preserve">DBH (cm)</t>
  </si>
  <si>
    <t xml:space="preserve">Hauteur (m)</t>
  </si>
  <si>
    <t xml:space="preserve">Etat</t>
  </si>
  <si>
    <t xml:space="preserve">Afopotsy</t>
  </si>
  <si>
    <t xml:space="preserve">Elaeocarpus sp</t>
  </si>
  <si>
    <t xml:space="preserve">Elaeocarpaceae</t>
  </si>
  <si>
    <t xml:space="preserve">NE</t>
  </si>
  <si>
    <t xml:space="preserve">Corde et toit</t>
  </si>
  <si>
    <t xml:space="preserve">Ambodimarohita</t>
  </si>
  <si>
    <t xml:space="preserve">Melicope sp</t>
  </si>
  <si>
    <t xml:space="preserve">Rutaceae</t>
  </si>
  <si>
    <t xml:space="preserve">Grewia sp</t>
  </si>
  <si>
    <t xml:space="preserve">Malvaceae</t>
  </si>
  <si>
    <t xml:space="preserve">Moyen</t>
  </si>
  <si>
    <t xml:space="preserve">Ambodivoahangy</t>
  </si>
  <si>
    <t xml:space="preserve">Bon</t>
  </si>
  <si>
    <t xml:space="preserve">Toit</t>
  </si>
  <si>
    <t xml:space="preserve">Antavibe</t>
  </si>
  <si>
    <t xml:space="preserve">Diospyros sp</t>
  </si>
  <si>
    <t xml:space="preserve">Ebenaceae</t>
  </si>
  <si>
    <t xml:space="preserve">Mauvais</t>
  </si>
  <si>
    <t xml:space="preserve">Sahanavaka I</t>
  </si>
  <si>
    <t xml:space="preserve">Geniostoma sp</t>
  </si>
  <si>
    <t xml:space="preserve">Loganiaceae</t>
  </si>
  <si>
    <t xml:space="preserve">LC</t>
  </si>
  <si>
    <t xml:space="preserve">Euphorbiaceae</t>
  </si>
  <si>
    <t xml:space="preserve">Dombeya sp</t>
  </si>
  <si>
    <t xml:space="preserve">Charpente</t>
  </si>
  <si>
    <t xml:space="preserve">Salicaceae</t>
  </si>
  <si>
    <t xml:space="preserve">Afotra</t>
  </si>
  <si>
    <t xml:space="preserve">Alampona</t>
  </si>
  <si>
    <t xml:space="preserve">Annonaceae</t>
  </si>
  <si>
    <t xml:space="preserve">Ambilazona</t>
  </si>
  <si>
    <t xml:space="preserve">Drypetes madagascariensis</t>
  </si>
  <si>
    <t xml:space="preserve">Putranjivaceae</t>
  </si>
  <si>
    <t xml:space="preserve">Poteau</t>
  </si>
  <si>
    <t xml:space="preserve">Viguieranthus subauriculatus</t>
  </si>
  <si>
    <t xml:space="preserve">Fabaceae</t>
  </si>
  <si>
    <t xml:space="preserve">Na</t>
  </si>
  <si>
    <t xml:space="preserve">Ambora</t>
  </si>
  <si>
    <t xml:space="preserve">Tambourissa sp</t>
  </si>
  <si>
    <t xml:space="preserve">Monimiaceae</t>
  </si>
  <si>
    <t xml:space="preserve">Rubiaceae</t>
  </si>
  <si>
    <t xml:space="preserve">Apocynaceae</t>
  </si>
  <si>
    <t xml:space="preserve">Charpente et meuble</t>
  </si>
  <si>
    <t xml:space="preserve">Strychnopsis thouarsii</t>
  </si>
  <si>
    <t xml:space="preserve">Menispermaceae</t>
  </si>
  <si>
    <t xml:space="preserve">Ampaliala</t>
  </si>
  <si>
    <t xml:space="preserve">Bois construction</t>
  </si>
  <si>
    <t xml:space="preserve">Ampalifotsy</t>
  </si>
  <si>
    <t xml:space="preserve">Eugenia sp</t>
  </si>
  <si>
    <t xml:space="preserve">Myrtaceae</t>
  </si>
  <si>
    <t xml:space="preserve">Elaeodendron sp</t>
  </si>
  <si>
    <t xml:space="preserve">Celastraceae</t>
  </si>
  <si>
    <t xml:space="preserve">Nuxia involucra</t>
  </si>
  <si>
    <t xml:space="preserve">Stilbaceae</t>
  </si>
  <si>
    <t xml:space="preserve">Chassalia sp</t>
  </si>
  <si>
    <t xml:space="preserve">Casearia nigrescens</t>
  </si>
  <si>
    <t xml:space="preserve">Ampaly</t>
  </si>
  <si>
    <t xml:space="preserve">Trilepisium madagascariense</t>
  </si>
  <si>
    <t xml:space="preserve">Moraceae</t>
  </si>
  <si>
    <t xml:space="preserve">Angavoadilahy</t>
  </si>
  <si>
    <t xml:space="preserve">Charpente, poteau, meuble et outils</t>
  </si>
  <si>
    <t xml:space="preserve">Outils</t>
  </si>
  <si>
    <t xml:space="preserve">Angavoadivavy</t>
  </si>
  <si>
    <t xml:space="preserve">Angavoady</t>
  </si>
  <si>
    <t xml:space="preserve">Aviavy</t>
  </si>
  <si>
    <t xml:space="preserve">Wielandia tanalorum</t>
  </si>
  <si>
    <t xml:space="preserve">Phyllanthaceae</t>
  </si>
  <si>
    <t xml:space="preserve">Mascarenhasia arborescens</t>
  </si>
  <si>
    <t xml:space="preserve">Bois d'énergie</t>
  </si>
  <si>
    <t xml:space="preserve">Sideroxylon betsimisarakum </t>
  </si>
  <si>
    <t xml:space="preserve">Sapotaceae</t>
  </si>
  <si>
    <t xml:space="preserve">EN</t>
  </si>
  <si>
    <t xml:space="preserve">Charpente, meuble</t>
  </si>
  <si>
    <t xml:space="preserve">Xylopia sp</t>
  </si>
  <si>
    <t xml:space="preserve">Bararaky</t>
  </si>
  <si>
    <t xml:space="preserve">Bararata</t>
  </si>
  <si>
    <t xml:space="preserve">Memecylon sp</t>
  </si>
  <si>
    <t xml:space="preserve">Melastomataceae</t>
  </si>
  <si>
    <t xml:space="preserve">Gaertnera sp</t>
  </si>
  <si>
    <t xml:space="preserve">Tricalyia sp</t>
  </si>
  <si>
    <t xml:space="preserve">Wielandia sp</t>
  </si>
  <si>
    <t xml:space="preserve">VU</t>
  </si>
  <si>
    <t xml:space="preserve">Befelatanana</t>
  </si>
  <si>
    <t xml:space="preserve">Vitex sp</t>
  </si>
  <si>
    <t xml:space="preserve">Lamiaceae</t>
  </si>
  <si>
    <t xml:space="preserve">Beravy</t>
  </si>
  <si>
    <t xml:space="preserve">Anthocleista sp</t>
  </si>
  <si>
    <t xml:space="preserve">Gentianaceae</t>
  </si>
  <si>
    <t xml:space="preserve">Bevorovoka</t>
  </si>
  <si>
    <t xml:space="preserve">Dypsis fibrosa</t>
  </si>
  <si>
    <t xml:space="preserve">Arecaceae</t>
  </si>
  <si>
    <t xml:space="preserve">Canaux</t>
  </si>
  <si>
    <t xml:space="preserve">Elatrangidina</t>
  </si>
  <si>
    <t xml:space="preserve">Passe partout</t>
  </si>
  <si>
    <t xml:space="preserve">Sapindaceae</t>
  </si>
  <si>
    <t xml:space="preserve">Fahavalonkazo</t>
  </si>
  <si>
    <t xml:space="preserve">Zanthoxyllum madagascariense</t>
  </si>
  <si>
    <t xml:space="preserve">Dillenia triquetra</t>
  </si>
  <si>
    <t xml:space="preserve">Dilleniaceae</t>
  </si>
  <si>
    <t xml:space="preserve">Anthocleista madagascariensis</t>
  </si>
  <si>
    <t xml:space="preserve">Anthocleista amplexicaulis</t>
  </si>
  <si>
    <t xml:space="preserve">Burasaia australis</t>
  </si>
  <si>
    <t xml:space="preserve">Baronia taratana</t>
  </si>
  <si>
    <t xml:space="preserve">Anacardiaceae</t>
  </si>
  <si>
    <t xml:space="preserve">Fandramanana</t>
  </si>
  <si>
    <t xml:space="preserve">Aphloia theiformis</t>
  </si>
  <si>
    <t xml:space="preserve">Aphloiaceae</t>
  </si>
  <si>
    <t xml:space="preserve">Fandrianakanga</t>
  </si>
  <si>
    <t xml:space="preserve">Charpente, poteau et meuble</t>
  </si>
  <si>
    <t xml:space="preserve">Chrysophyllum boivinianum</t>
  </si>
  <si>
    <t xml:space="preserve">Fanoantsoagnana</t>
  </si>
  <si>
    <t xml:space="preserve">Poteau et charpente</t>
  </si>
  <si>
    <t xml:space="preserve">Fantsinakoho</t>
  </si>
  <si>
    <t xml:space="preserve">Araceae</t>
  </si>
  <si>
    <t xml:space="preserve">Poteau et meuble</t>
  </si>
  <si>
    <t xml:space="preserve">Faralaotra</t>
  </si>
  <si>
    <t xml:space="preserve">Colubrina faraloatra</t>
  </si>
  <si>
    <t xml:space="preserve">Rhamnaceae</t>
  </si>
  <si>
    <t xml:space="preserve">Très mauvais</t>
  </si>
  <si>
    <t xml:space="preserve">Gallienia sclerophylla</t>
  </si>
  <si>
    <t xml:space="preserve">Fatsikasitra</t>
  </si>
  <si>
    <t xml:space="preserve">Poteau et toit</t>
  </si>
  <si>
    <t xml:space="preserve">Pittosporum sp</t>
  </si>
  <si>
    <t xml:space="preserve">Pittosporaceae</t>
  </si>
  <si>
    <t xml:space="preserve">Canthium sp</t>
  </si>
  <si>
    <t xml:space="preserve">Fenakarana</t>
  </si>
  <si>
    <t xml:space="preserve">Dypsis nodifera</t>
  </si>
  <si>
    <t xml:space="preserve">Mur</t>
  </si>
  <si>
    <t xml:space="preserve">Fontigna</t>
  </si>
  <si>
    <t xml:space="preserve">Decarydendron sp</t>
  </si>
  <si>
    <t xml:space="preserve">Erythroxylum sphaeranthum</t>
  </si>
  <si>
    <t xml:space="preserve">Erythroxylaceae</t>
  </si>
  <si>
    <t xml:space="preserve">Erythroxylum sp</t>
  </si>
  <si>
    <t xml:space="preserve">Hanona</t>
  </si>
  <si>
    <t xml:space="preserve">Harina</t>
  </si>
  <si>
    <t xml:space="preserve">Bridelia tulasneana</t>
  </si>
  <si>
    <t xml:space="preserve">Hasina</t>
  </si>
  <si>
    <t xml:space="preserve">Dracaena reflexa</t>
  </si>
  <si>
    <t xml:space="preserve">Asparagaceae</t>
  </si>
  <si>
    <t xml:space="preserve">Clotûre</t>
  </si>
  <si>
    <t xml:space="preserve">Dracaena sp</t>
  </si>
  <si>
    <t xml:space="preserve">Hasinalahy</t>
  </si>
  <si>
    <t xml:space="preserve">Hazo1</t>
  </si>
  <si>
    <t xml:space="preserve">Hazo2</t>
  </si>
  <si>
    <t xml:space="preserve">Mauloutchia chapelieri</t>
  </si>
  <si>
    <t xml:space="preserve">Myristicaceae</t>
  </si>
  <si>
    <t xml:space="preserve">Hazo3</t>
  </si>
  <si>
    <t xml:space="preserve">Poteau, toit et mur</t>
  </si>
  <si>
    <t xml:space="preserve">Hazo4</t>
  </si>
  <si>
    <t xml:space="preserve">Hazo5</t>
  </si>
  <si>
    <t xml:space="preserve">Hazo8</t>
  </si>
  <si>
    <t xml:space="preserve">Grewia macrophylla</t>
  </si>
  <si>
    <t xml:space="preserve">CR</t>
  </si>
  <si>
    <t xml:space="preserve">Hazoaraka</t>
  </si>
  <si>
    <t xml:space="preserve">Hazomaimbo</t>
  </si>
  <si>
    <t xml:space="preserve">Poteau, toit et bois d'énergie</t>
  </si>
  <si>
    <t xml:space="preserve">Saldinia sp</t>
  </si>
  <si>
    <t xml:space="preserve">Diospyros gracilipes</t>
  </si>
  <si>
    <t xml:space="preserve">Garcinia sp</t>
  </si>
  <si>
    <t xml:space="preserve">Clusiaceae</t>
  </si>
  <si>
    <t xml:space="preserve">Syzygium sp</t>
  </si>
  <si>
    <t xml:space="preserve">Polycardia libera</t>
  </si>
  <si>
    <t xml:space="preserve">Fenerivia humbertii</t>
  </si>
  <si>
    <t xml:space="preserve">Psychotria sp</t>
  </si>
  <si>
    <t xml:space="preserve">Pilon et charpente</t>
  </si>
  <si>
    <t xml:space="preserve">Hazomalandy</t>
  </si>
  <si>
    <t xml:space="preserve">Colea sp</t>
  </si>
  <si>
    <t xml:space="preserve">Bignoniaceae</t>
  </si>
  <si>
    <t xml:space="preserve">Hazomalany</t>
  </si>
  <si>
    <t xml:space="preserve">Hazomamy</t>
  </si>
  <si>
    <t xml:space="preserve">Hazombary</t>
  </si>
  <si>
    <t xml:space="preserve">Voacanga thouarsii</t>
  </si>
  <si>
    <t xml:space="preserve">Cryptocarya sp</t>
  </si>
  <si>
    <t xml:space="preserve">Lauraceae</t>
  </si>
  <si>
    <t xml:space="preserve">Petchia erythrocarpa</t>
  </si>
  <si>
    <t xml:space="preserve">Hazombato</t>
  </si>
  <si>
    <t xml:space="preserve">Hazomena</t>
  </si>
  <si>
    <t xml:space="preserve">Hazondambo</t>
  </si>
  <si>
    <t xml:space="preserve">Berteria sp</t>
  </si>
  <si>
    <t xml:space="preserve">Danais sp</t>
  </si>
  <si>
    <t xml:space="preserve">Hazotavolo</t>
  </si>
  <si>
    <t xml:space="preserve">Plagioscyphus stelechanthus</t>
  </si>
  <si>
    <t xml:space="preserve">Cnestis polyphylla</t>
  </si>
  <si>
    <t xml:space="preserve">Connaraceae</t>
  </si>
  <si>
    <t xml:space="preserve">Macphersonia sp</t>
  </si>
  <si>
    <t xml:space="preserve">Hodibiby</t>
  </si>
  <si>
    <t xml:space="preserve">Protection aux mauvais</t>
  </si>
  <si>
    <t xml:space="preserve">Meuble</t>
  </si>
  <si>
    <t xml:space="preserve">Tabernaemontana sp</t>
  </si>
  <si>
    <t xml:space="preserve">Kabokalalahy</t>
  </si>
  <si>
    <t xml:space="preserve">Kabokalavavy</t>
  </si>
  <si>
    <t xml:space="preserve">Kabota</t>
  </si>
  <si>
    <t xml:space="preserve">Kimba</t>
  </si>
  <si>
    <t xml:space="preserve">Garcinia thouvenotii</t>
  </si>
  <si>
    <t xml:space="preserve">Garcinia lowryi</t>
  </si>
  <si>
    <t xml:space="preserve">Symphonia sp</t>
  </si>
  <si>
    <t xml:space="preserve">Mammea sp</t>
  </si>
  <si>
    <t xml:space="preserve">Calophyllaceae</t>
  </si>
  <si>
    <t xml:space="preserve">Kimbaletaka</t>
  </si>
  <si>
    <t xml:space="preserve">Symphonia louvelii</t>
  </si>
  <si>
    <t xml:space="preserve">Kizy</t>
  </si>
  <si>
    <t xml:space="preserve">Charpente et la colle</t>
  </si>
  <si>
    <t xml:space="preserve">Kogna</t>
  </si>
  <si>
    <t xml:space="preserve">Dypsis sp</t>
  </si>
  <si>
    <t xml:space="preserve">Koraka</t>
  </si>
  <si>
    <t xml:space="preserve">Macaranga sp</t>
  </si>
  <si>
    <t xml:space="preserve">Lafa</t>
  </si>
  <si>
    <t xml:space="preserve">Dypsis mananjarensis</t>
  </si>
  <si>
    <t xml:space="preserve">NT</t>
  </si>
  <si>
    <t xml:space="preserve">Lakamboalavo</t>
  </si>
  <si>
    <t xml:space="preserve">Lalona</t>
  </si>
  <si>
    <t xml:space="preserve">Weinmannia sp</t>
  </si>
  <si>
    <t xml:space="preserve">Cunnoniaceae</t>
  </si>
  <si>
    <t xml:space="preserve">Lambignana</t>
  </si>
  <si>
    <t xml:space="preserve">Lambignandahy</t>
  </si>
  <si>
    <t xml:space="preserve">Lendemy</t>
  </si>
  <si>
    <t xml:space="preserve">Protection tonneres</t>
  </si>
  <si>
    <t xml:space="preserve">Logno</t>
  </si>
  <si>
    <t xml:space="preserve">Longatra</t>
  </si>
  <si>
    <t xml:space="preserve">Rinorea sp</t>
  </si>
  <si>
    <t xml:space="preserve">Violaceae</t>
  </si>
  <si>
    <t xml:space="preserve">Madiorano</t>
  </si>
  <si>
    <t xml:space="preserve">Magna</t>
  </si>
  <si>
    <t xml:space="preserve">Macaranga cuspidata</t>
  </si>
  <si>
    <t xml:space="preserve">Mahitsiatoraky</t>
  </si>
  <si>
    <t xml:space="preserve">Saldinia proboscidea</t>
  </si>
  <si>
    <t xml:space="preserve">Makavalia</t>
  </si>
  <si>
    <t xml:space="preserve">Malandivony</t>
  </si>
  <si>
    <t xml:space="preserve">Annona sp</t>
  </si>
  <si>
    <t xml:space="preserve">Ampalis dimepate</t>
  </si>
  <si>
    <t xml:space="preserve">Noronhia sp</t>
  </si>
  <si>
    <t xml:space="preserve">Oleaceae</t>
  </si>
  <si>
    <t xml:space="preserve">Doratoxylon stipulatum</t>
  </si>
  <si>
    <t xml:space="preserve">Campylospermum obtusifolium</t>
  </si>
  <si>
    <t xml:space="preserve">Ochnaceae</t>
  </si>
  <si>
    <t xml:space="preserve">Calophyllum sp</t>
  </si>
  <si>
    <t xml:space="preserve">Campylospermum sp</t>
  </si>
  <si>
    <t xml:space="preserve">Malemiravy</t>
  </si>
  <si>
    <t xml:space="preserve">Mamiranony</t>
  </si>
  <si>
    <t xml:space="preserve">Manasavelo</t>
  </si>
  <si>
    <t xml:space="preserve">Streblus sp</t>
  </si>
  <si>
    <t xml:space="preserve">Mandresy</t>
  </si>
  <si>
    <t xml:space="preserve">Mandriravy</t>
  </si>
  <si>
    <t xml:space="preserve">Mandronono</t>
  </si>
  <si>
    <t xml:space="preserve">Manoro</t>
  </si>
  <si>
    <t xml:space="preserve">Poteau et pilon</t>
  </si>
  <si>
    <t xml:space="preserve">Manoroala</t>
  </si>
  <si>
    <t xml:space="preserve">Manorolahy</t>
  </si>
  <si>
    <t xml:space="preserve">Manovalagna</t>
  </si>
  <si>
    <t xml:space="preserve">Marombody</t>
  </si>
  <si>
    <t xml:space="preserve">Matsoraka</t>
  </si>
  <si>
    <t xml:space="preserve">Mavalia</t>
  </si>
  <si>
    <t xml:space="preserve">Phyllarthron articulatum</t>
  </si>
  <si>
    <t xml:space="preserve">Menafatagna</t>
  </si>
  <si>
    <t xml:space="preserve">Menahihy</t>
  </si>
  <si>
    <t xml:space="preserve">Psychotria lantzii</t>
  </si>
  <si>
    <t xml:space="preserve">Meliaceae</t>
  </si>
  <si>
    <t xml:space="preserve">Abrahamia sp</t>
  </si>
  <si>
    <t xml:space="preserve">Menazatagna</t>
  </si>
  <si>
    <t xml:space="preserve">Menga</t>
  </si>
  <si>
    <t xml:space="preserve">Plagioscyphus sp</t>
  </si>
  <si>
    <t xml:space="preserve">Mokaranana</t>
  </si>
  <si>
    <t xml:space="preserve">Acalypha sp</t>
  </si>
  <si>
    <t xml:space="preserve">Nato</t>
  </si>
  <si>
    <t xml:space="preserve">Labramia louvelii</t>
  </si>
  <si>
    <t xml:space="preserve">Poteau et outils</t>
  </si>
  <si>
    <t xml:space="preserve">Pilon, Bois construction</t>
  </si>
  <si>
    <t xml:space="preserve">Natopoaka</t>
  </si>
  <si>
    <t xml:space="preserve">Nivo</t>
  </si>
  <si>
    <t xml:space="preserve">Scultage</t>
  </si>
  <si>
    <t xml:space="preserve">Raharaha</t>
  </si>
  <si>
    <t xml:space="preserve">Mauloutchia sp</t>
  </si>
  <si>
    <t xml:space="preserve">Ramanjavona</t>
  </si>
  <si>
    <t xml:space="preserve">Ramiavitolo</t>
  </si>
  <si>
    <t xml:space="preserve">M</t>
  </si>
  <si>
    <t xml:space="preserve">Artabotrys sp</t>
  </si>
  <si>
    <t xml:space="preserve">Antidesma madagascariense</t>
  </si>
  <si>
    <t xml:space="preserve">Hibiscus sp</t>
  </si>
  <si>
    <t xml:space="preserve">Cinamonum sp</t>
  </si>
  <si>
    <t xml:space="preserve">Xylopia buxifolia</t>
  </si>
  <si>
    <t xml:space="preserve">Ramiavona</t>
  </si>
  <si>
    <t xml:space="preserve">Ramifotsy</t>
  </si>
  <si>
    <t xml:space="preserve">Ramy</t>
  </si>
  <si>
    <t xml:space="preserve">Canarium madagascariense </t>
  </si>
  <si>
    <t xml:space="preserve">Burseraceae</t>
  </si>
  <si>
    <t xml:space="preserve">Guitare</t>
  </si>
  <si>
    <t xml:space="preserve">Randropody</t>
  </si>
  <si>
    <t xml:space="preserve">Peponidium sp</t>
  </si>
  <si>
    <t xml:space="preserve">Palicourea sp</t>
  </si>
  <si>
    <t xml:space="preserve">Clôture, poteau et charpente</t>
  </si>
  <si>
    <t xml:space="preserve">Sorindeia madagascariensis</t>
  </si>
  <si>
    <t xml:space="preserve">Ravenala madagascariensis</t>
  </si>
  <si>
    <t xml:space="preserve">Strelitziaceae</t>
  </si>
  <si>
    <t xml:space="preserve">Mur et toit</t>
  </si>
  <si>
    <t xml:space="preserve">Mur, toit et canal</t>
  </si>
  <si>
    <t xml:space="preserve">Rongampany</t>
  </si>
  <si>
    <t xml:space="preserve">Rotrala</t>
  </si>
  <si>
    <t xml:space="preserve">Strychnos sp</t>
  </si>
  <si>
    <t xml:space="preserve">Sakarivohazo</t>
  </si>
  <si>
    <t xml:space="preserve">Sakatavilona</t>
  </si>
  <si>
    <t xml:space="preserve">Dypsis decipiens</t>
  </si>
  <si>
    <t xml:space="preserve">Dypsis prestoniana</t>
  </si>
  <si>
    <t xml:space="preserve">Sakoa</t>
  </si>
  <si>
    <t xml:space="preserve">Contre vertige</t>
  </si>
  <si>
    <t xml:space="preserve">Salenjy</t>
  </si>
  <si>
    <t xml:space="preserve">Polyalthia sp</t>
  </si>
  <si>
    <t xml:space="preserve">Doratoxylon sp</t>
  </si>
  <si>
    <t xml:space="preserve">Sandramy</t>
  </si>
  <si>
    <t xml:space="preserve">Sanira</t>
  </si>
  <si>
    <t xml:space="preserve">Ficus sp</t>
  </si>
  <si>
    <t xml:space="preserve">Myrciaria sp</t>
  </si>
  <si>
    <t xml:space="preserve">Saniralahy</t>
  </si>
  <si>
    <t xml:space="preserve">Sevagna</t>
  </si>
  <si>
    <t xml:space="preserve">Mystroxylon aethiopicum</t>
  </si>
  <si>
    <t xml:space="preserve">Sily</t>
  </si>
  <si>
    <t xml:space="preserve">Tamenaky</t>
  </si>
  <si>
    <t xml:space="preserve">Pirogue</t>
  </si>
  <si>
    <t xml:space="preserve">Tarantana</t>
  </si>
  <si>
    <t xml:space="preserve">Tarantanafotsy</t>
  </si>
  <si>
    <t xml:space="preserve">Tavia</t>
  </si>
  <si>
    <t xml:space="preserve">Pilon</t>
  </si>
  <si>
    <t xml:space="preserve">Tavolo</t>
  </si>
  <si>
    <t xml:space="preserve">Tavoloala</t>
  </si>
  <si>
    <t xml:space="preserve">Dilobeia thouarsii</t>
  </si>
  <si>
    <t xml:space="preserve">Proteaceae</t>
  </si>
  <si>
    <t xml:space="preserve">Tendrotrazo</t>
  </si>
  <si>
    <t xml:space="preserve">Tsidikaposa</t>
  </si>
  <si>
    <t xml:space="preserve">Tsikarakarana</t>
  </si>
  <si>
    <t xml:space="preserve">Chapente</t>
  </si>
  <si>
    <t xml:space="preserve">Tsilaitra</t>
  </si>
  <si>
    <t xml:space="preserve">Schizolaena sp</t>
  </si>
  <si>
    <t xml:space="preserve">Sarcolaenaceae</t>
  </si>
  <si>
    <t xml:space="preserve">Poudre Toaka Gasy</t>
  </si>
  <si>
    <t xml:space="preserve">Tsimahamasasokina</t>
  </si>
  <si>
    <t xml:space="preserve">Schizolaena rosea</t>
  </si>
  <si>
    <t xml:space="preserve">Syzygium cumini</t>
  </si>
  <si>
    <t xml:space="preserve">Tsingena</t>
  </si>
  <si>
    <t xml:space="preserve">Balais</t>
  </si>
  <si>
    <t xml:space="preserve">Tsirikala</t>
  </si>
  <si>
    <t xml:space="preserve">Pandanus leptopodus</t>
  </si>
  <si>
    <t xml:space="preserve">Pandanaceae</t>
  </si>
  <si>
    <t xml:space="preserve">Cordyline sp</t>
  </si>
  <si>
    <t xml:space="preserve">Pandanus sp</t>
  </si>
  <si>
    <t xml:space="preserve">Liaison mur</t>
  </si>
  <si>
    <t xml:space="preserve">Tsitabitabaka</t>
  </si>
  <si>
    <t xml:space="preserve">Gymnanthemum sp</t>
  </si>
  <si>
    <t xml:space="preserve">Asteraceae</t>
  </si>
  <si>
    <t xml:space="preserve">Tsokazo</t>
  </si>
  <si>
    <t xml:space="preserve">Canephora sp</t>
  </si>
  <si>
    <t xml:space="preserve">Tsotso</t>
  </si>
  <si>
    <t xml:space="preserve">Vahohy</t>
  </si>
  <si>
    <t xml:space="preserve">Trema orientale</t>
  </si>
  <si>
    <t xml:space="preserve">Cannabaceae</t>
  </si>
  <si>
    <t xml:space="preserve">Valotra</t>
  </si>
  <si>
    <t xml:space="preserve">Macphersonia radkoferi</t>
  </si>
  <si>
    <t xml:space="preserve">Varongy</t>
  </si>
  <si>
    <t xml:space="preserve">Ocotea sp</t>
  </si>
  <si>
    <t xml:space="preserve">Vilona</t>
  </si>
  <si>
    <t xml:space="preserve">Mur et bois d'énergie</t>
  </si>
  <si>
    <t xml:space="preserve">Neotina sp</t>
  </si>
  <si>
    <t xml:space="preserve">Médicinal</t>
  </si>
  <si>
    <t xml:space="preserve">Delonix sp</t>
  </si>
  <si>
    <t xml:space="preserve">Voamalimpangady</t>
  </si>
  <si>
    <t xml:space="preserve">Voamboana</t>
  </si>
  <si>
    <t xml:space="preserve">Dalbergia baronii</t>
  </si>
  <si>
    <t xml:space="preserve">Voantsilagna</t>
  </si>
  <si>
    <t xml:space="preserve">Charpente et porte</t>
  </si>
  <si>
    <t xml:space="preserve">Voapakivavy</t>
  </si>
  <si>
    <t xml:space="preserve">Uapaca sp</t>
  </si>
  <si>
    <t xml:space="preserve">Voapaky</t>
  </si>
  <si>
    <t xml:space="preserve">Uapaca louvelii</t>
  </si>
  <si>
    <t xml:space="preserve">Uapaca ferruginea</t>
  </si>
  <si>
    <t xml:space="preserve">Uapaca thouarsii</t>
  </si>
  <si>
    <t xml:space="preserve">Charpente et mur</t>
  </si>
  <si>
    <t xml:space="preserve">Vodihazo</t>
  </si>
  <si>
    <t xml:space="preserve">Votogna</t>
  </si>
  <si>
    <t xml:space="preserve">Zagna</t>
  </si>
  <si>
    <t xml:space="preserve">Zarofady</t>
  </si>
  <si>
    <t xml:space="preserve">Bois d'énergie et protection aux mauvais</t>
  </si>
  <si>
    <t xml:space="preserve">Transect </t>
  </si>
  <si>
    <t xml:space="preserve">Nombre</t>
  </si>
  <si>
    <t xml:space="preserve">Dracanea fontanesiana</t>
  </si>
  <si>
    <t xml:space="preserve">Tanamivokona</t>
  </si>
  <si>
    <t xml:space="preserve">Madioranovavy</t>
  </si>
  <si>
    <t xml:space="preserve">Madioranolahy</t>
  </si>
  <si>
    <t xml:space="preserve">Fagaceae</t>
  </si>
  <si>
    <t xml:space="preserve">Primulaceae</t>
  </si>
  <si>
    <t xml:space="preserve">Saniravavy</t>
  </si>
  <si>
    <t xml:space="preserve">Hazodite</t>
  </si>
  <si>
    <t xml:space="preserve">Badula barthesia</t>
  </si>
  <si>
    <t xml:space="preserve">Ivogna</t>
  </si>
  <si>
    <t xml:space="preserve">Dracanea reflexa</t>
  </si>
  <si>
    <t xml:space="preserve">Vahy</t>
  </si>
  <si>
    <t xml:space="preserve">Longolongo</t>
  </si>
  <si>
    <t xml:space="preserve">Arivogna</t>
  </si>
  <si>
    <t xml:space="preserve">Claoxylon sp</t>
  </si>
  <si>
    <t xml:space="preserve">Hazo</t>
  </si>
  <si>
    <t xml:space="preserve">Mandrosovelona</t>
  </si>
  <si>
    <t xml:space="preserve">Ragnomigna</t>
  </si>
  <si>
    <t xml:space="preserve">Tsiramiramy</t>
  </si>
  <si>
    <t xml:space="preserve">Amboralahy</t>
  </si>
  <si>
    <t xml:space="preserve">Planchonella sp</t>
  </si>
  <si>
    <t xml:space="preserve">Dracanea sp</t>
  </si>
  <si>
    <t xml:space="preserve">Celtis sp</t>
  </si>
  <si>
    <t xml:space="preserve">Satrany</t>
  </si>
  <si>
    <t xml:space="preserve">Volambodipony</t>
  </si>
  <si>
    <t xml:space="preserve">Hazondandy</t>
  </si>
  <si>
    <t xml:space="preserve">Nom gasy</t>
  </si>
  <si>
    <t xml:space="preserve">Sandramy, Menahihy</t>
  </si>
  <si>
    <t xml:space="preserve">Tarantanafotsy, Tarantana, Fahavalonkazo</t>
  </si>
  <si>
    <t xml:space="preserve">Ramiavona, Ramiavitolo</t>
  </si>
  <si>
    <t xml:space="preserve">Hazondambo, Menahihy, Malandivony, Salenjy, Elatrangidina, Ramiavona, Babona</t>
  </si>
  <si>
    <t xml:space="preserve">Babona, Ramy</t>
  </si>
  <si>
    <t xml:space="preserve">Kabokala, Hazombary</t>
  </si>
  <si>
    <t xml:space="preserve">Hazombary, Lendemy, Tarantanafotsy, Hazondambo</t>
  </si>
  <si>
    <t xml:space="preserve">Fenakarana, Kogna, Sakatavilona, Madiorano, Lakamboalavo, Mamiranony, Bevorovoka</t>
  </si>
  <si>
    <t xml:space="preserve">Lafa, Sakatavilona</t>
  </si>
  <si>
    <t xml:space="preserve">Nivo, Sakatavilona, Lafa, Kogna, Mamiranony, Madiorano</t>
  </si>
  <si>
    <t xml:space="preserve">Hasina, Hasinalahy, Lendemy</t>
  </si>
  <si>
    <t xml:space="preserve">Tsitabitabaka, Vodihazo</t>
  </si>
  <si>
    <t xml:space="preserve">Tsidikaposa, Hazomalandy</t>
  </si>
  <si>
    <t xml:space="preserve">Malandivony, Nato, Mandronono</t>
  </si>
  <si>
    <t xml:space="preserve">Manoro, Manasavelo, Hazomainty</t>
  </si>
  <si>
    <t xml:space="preserve">Kimba, Natopoaka</t>
  </si>
  <si>
    <t xml:space="preserve">Kimba, Salenjy, Hazomainty, Nato, Manasavelo, Kizy, Tamenaky</t>
  </si>
  <si>
    <t xml:space="preserve">Hazotavolo, Tsidikaposa, Sevagna</t>
  </si>
  <si>
    <t xml:space="preserve">Sanira, Hazomainty</t>
  </si>
  <si>
    <t xml:space="preserve">Hazomainty, Menahihy, Afopotsy, Sanira, Ramanjavona</t>
  </si>
  <si>
    <t xml:space="preserve">Voapaky, Valotra, Fontigna, Hazombary, Raharaha</t>
  </si>
  <si>
    <t xml:space="preserve">Koraka, Mokaranana</t>
  </si>
  <si>
    <t xml:space="preserve">Fahavalonkazo, Sakarivohazo, Hazondambo, Lendemy</t>
  </si>
  <si>
    <t xml:space="preserve">Fahavalonkazo, Lendemy, Beravy</t>
  </si>
  <si>
    <t xml:space="preserve">Befelatanana, Makavalia, Mandriravy</t>
  </si>
  <si>
    <t xml:space="preserve">Hazotavolo, Hazombary</t>
  </si>
  <si>
    <t xml:space="preserve">Koraka, Afotra, Afopotsy</t>
  </si>
  <si>
    <t xml:space="preserve">Afopotsy, Koraka</t>
  </si>
  <si>
    <t xml:space="preserve">Malandivony, Lambignana, Faralaotra, Hazomainty, Bararata, Raharaha, Tsimahamasasokina, Ramiavitolo, Sanira, Tsokazo, Hazo5</t>
  </si>
  <si>
    <t xml:space="preserve">Vodihazo, Fahavalonkazo, Voantsilagna</t>
  </si>
  <si>
    <t xml:space="preserve">Ambora, Hazondambo, Bararata, Tsokazo, Voapaky, Lambignandahy, Mahitsiatoraky</t>
  </si>
  <si>
    <t xml:space="preserve">Malandivony, Manoro, Manoroala</t>
  </si>
  <si>
    <t xml:space="preserve">Manoro, Ampaly, Manoroala</t>
  </si>
  <si>
    <t xml:space="preserve">Raharaha, Hazo2</t>
  </si>
  <si>
    <t xml:space="preserve">Ampalifotsy, Fantsinakoho</t>
  </si>
  <si>
    <t xml:space="preserve">Hazomainty, Tsokazo, Lambignana</t>
  </si>
  <si>
    <t xml:space="preserve">Malandivony, Tsimahamasasokina, Menahihy, Raharaha</t>
  </si>
  <si>
    <t xml:space="preserve">Ramiavitolo, Tsidikaposa, Rongampany</t>
  </si>
  <si>
    <t xml:space="preserve">Voapaky, Voapakivavy</t>
  </si>
  <si>
    <t xml:space="preserve">Malandivony, Sanira, Bararata, Ramiavona, Aviavy</t>
  </si>
  <si>
    <t xml:space="preserve">Hazombary, Sakarivohazo, Fatsikasitra, Salenjy</t>
  </si>
  <si>
    <t xml:space="preserve">Hazomainty, Ambilazona</t>
  </si>
  <si>
    <t xml:space="preserve">Rotrala, Faralaotra, Hazoaraka, Vodihazo</t>
  </si>
  <si>
    <t xml:space="preserve">Tsikarakarana, Ampalifotsy</t>
  </si>
  <si>
    <t xml:space="preserve">Hazondambo, Zarofady</t>
  </si>
  <si>
    <t xml:space="preserve">Hazondambo, Bararata, Kimba</t>
  </si>
  <si>
    <t xml:space="preserve">Tsimahamasasokina, Hodibiby, Faralaotra, Sily, Manasavelo, Vodihazo</t>
  </si>
  <si>
    <t xml:space="preserve">Tsimahamasasokina, Randropody, Salenjy</t>
  </si>
  <si>
    <t xml:space="preserve">Kimba, Zarofady, Hazomainty</t>
  </si>
  <si>
    <t xml:space="preserve">Zarofady, Mahitsiatoraky</t>
  </si>
  <si>
    <t xml:space="preserve">Zagna, Hazomainty, Zarofady, Randropody</t>
  </si>
  <si>
    <t xml:space="preserve">Fahavalonkazo, Menahihy, Tsidikaposa, Sakarivohazo</t>
  </si>
  <si>
    <t xml:space="preserve">Ampalifotsy, Vilona, Randropody</t>
  </si>
  <si>
    <t xml:space="preserve">Vilona, Salenjy</t>
  </si>
  <si>
    <t xml:space="preserve">Tsingena, Malandivony, Sanira</t>
  </si>
  <si>
    <t xml:space="preserve">Vilona, Sakarivohazo, Tsotso, Hazotavolo</t>
  </si>
  <si>
    <t xml:space="preserve">Tsikarakarana, Menga</t>
  </si>
  <si>
    <t xml:space="preserve">Varongy, Hazotavolo, Tsikarakarana</t>
  </si>
  <si>
    <t xml:space="preserve">Hazombary, Vilona, Kabokalavavy, Tavia, Lambignana, Fandrianakanga</t>
  </si>
  <si>
    <t xml:space="preserve">Tsilaitra, Tsimahamasasokina</t>
  </si>
  <si>
    <t xml:space="preserve">Ampalifotsy, Votogna, Hodibiby, Voamalimpangady</t>
  </si>
  <si>
    <t xml:space="preserve">Voapaka</t>
  </si>
  <si>
    <t xml:space="preserve">Planche</t>
  </si>
  <si>
    <t xml:space="preserve">Corde</t>
  </si>
  <si>
    <t xml:space="preserve">Andramena</t>
  </si>
  <si>
    <t xml:space="preserve">Clôture</t>
  </si>
  <si>
    <t xml:space="preserve">Décoction plaie</t>
  </si>
  <si>
    <t xml:space="preserve">Fandranasarotra</t>
  </si>
  <si>
    <t xml:space="preserve">Protection sorcellerie</t>
  </si>
  <si>
    <t xml:space="preserve">Hitsoky</t>
  </si>
  <si>
    <t xml:space="preserve">Protection animaux</t>
  </si>
  <si>
    <t xml:space="preserve">Ivona</t>
  </si>
  <si>
    <t xml:space="preserve">Kizo</t>
  </si>
  <si>
    <t xml:space="preserve">Colle</t>
  </si>
  <si>
    <t xml:space="preserve">Protection tonerre</t>
  </si>
  <si>
    <t xml:space="preserve">Alimentaire</t>
  </si>
  <si>
    <t xml:space="preserve">Poudre toaka</t>
  </si>
  <si>
    <t xml:space="preserve">Porte</t>
  </si>
  <si>
    <t xml:space="preserve">Zambo</t>
  </si>
  <si>
    <t xml:space="preserve">Protection interdit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</si>
</sst>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000"/>
  </numFmts>
  <fonts count="1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4"/>
      <color rgb="FF595959"/>
      <name val="Aptos Narrow"/>
      <family val="2"/>
    </font>
    <font>
      <sz val="9"/>
      <color rgb="FF404040"/>
      <name val="Aptos Narrow"/>
      <family val="2"/>
    </font>
    <font>
      <sz val="9"/>
      <color rgb="FF595959"/>
      <name val="Aptos Narrow"/>
      <family val="2"/>
    </font>
    <font>
      <sz val="10"/>
      <color rgb="FF595959"/>
      <name val="Aptos Narrow"/>
      <family val="2"/>
    </font>
    <font>
      <sz val="10"/>
      <color rgb="FF000000"/>
      <name val="Aptos Narrow"/>
      <family val="2"/>
    </font>
    <font>
      <i val="true"/>
      <sz val="11"/>
      <color theme="1"/>
      <name val="Aptos Narrow"/>
      <family val="2"/>
      <charset val="1"/>
    </font>
    <font>
      <i val="true"/>
      <sz val="11"/>
      <color rgb="FF000000"/>
      <name val="Aptos Narrow"/>
      <family val="2"/>
      <charset val="1"/>
    </font>
    <font>
      <i val="true"/>
      <sz val="11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name val="Aptos Narrow"/>
      <family val="2"/>
      <charset val="1"/>
    </font>
    <font>
      <b val="true"/>
      <sz val="10"/>
      <color theme="1"/>
      <name val="Aptos Narrow"/>
      <family val="2"/>
      <charset val="1"/>
    </font>
    <font>
      <sz val="10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theme="4" tint="0.7999"/>
        <bgColor rgb="FFD9D9D9"/>
      </patternFill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>
        <color theme="4" tint="0.3999"/>
      </top>
      <bottom/>
      <diagonal/>
    </border>
    <border diagonalUp="false" diagonalDown="false">
      <left style="thin">
        <color theme="2" tint="-0.5"/>
      </left>
      <right style="thin">
        <color theme="2" tint="-0.5"/>
      </right>
      <top style="thin">
        <color theme="2" tint="-0.5"/>
      </top>
      <bottom style="thin">
        <color theme="2" tint="-0.5"/>
      </bottom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5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1"/>
    <cellStyle name="Champ de la table dynamique" xfId="22"/>
    <cellStyle name="Coin de la table dynamique" xfId="23"/>
    <cellStyle name="Résultat de la table dynamique" xfId="24"/>
    <cellStyle name="Titre de la table dynamique" xfId="25"/>
    <cellStyle name="Valeur de la table dynamique" xfId="26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B8B8B"/>
      <rgbColor rgb="FF9999FF"/>
      <rgbColor rgb="FFA02B93"/>
      <rgbColor rgb="FFFFFFCC"/>
      <rgbColor rgb="FFC1E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DBFBFB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E97132"/>
      <rgbColor rgb="FF747474"/>
      <rgbColor rgb="FF969696"/>
      <rgbColor rgb="FF0D3A4E"/>
      <rgbColor rgb="FF46788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FR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Nombre de tiges par diamètre sur 320 m2 à Tsiazombazaha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préinventaireTsiazombazaha!$B$2</c:f>
              <c:strCache>
                <c:ptCount val="1"/>
                <c:pt idx="0">
                  <c:v>NB 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préinventaireTsiazombazaha!$A$3:$A$46</c:f>
              <c:strCache>
                <c:ptCount val="4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</c:strCache>
            </c:strRef>
          </c:cat>
          <c:val>
            <c:numRef>
              <c:f>préinventaireTsiazombazaha!$B$3:$B$46</c:f>
              <c:numCache>
                <c:formatCode>General</c:formatCode>
                <c:ptCount val="44"/>
                <c:pt idx="0">
                  <c:v>77</c:v>
                </c:pt>
                <c:pt idx="1">
                  <c:v>73</c:v>
                </c:pt>
                <c:pt idx="2">
                  <c:v>42</c:v>
                </c:pt>
                <c:pt idx="3">
                  <c:v>25</c:v>
                </c:pt>
                <c:pt idx="4">
                  <c:v>20</c:v>
                </c:pt>
                <c:pt idx="5">
                  <c:v>13</c:v>
                </c:pt>
                <c:pt idx="6">
                  <c:v>9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  <c:pt idx="27">
                  <c:v>1</c:v>
                </c:pt>
                <c:pt idx="29">
                  <c:v>2</c:v>
                </c:pt>
                <c:pt idx="33">
                  <c:v>1</c:v>
                </c:pt>
                <c:pt idx="34">
                  <c:v>1</c:v>
                </c:pt>
                <c:pt idx="37">
                  <c:v>1</c:v>
                </c:pt>
                <c:pt idx="43">
                  <c:v>1</c:v>
                </c:pt>
              </c:numCache>
            </c:numRef>
          </c:val>
        </c:ser>
        <c:gapWidth val="219"/>
        <c:overlap val="-27"/>
        <c:axId val="36569453"/>
        <c:axId val="43100061"/>
      </c:barChart>
      <c:catAx>
        <c:axId val="365694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FR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Diamètre à hauteur de poitrine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43100061"/>
        <c:crosses val="autoZero"/>
        <c:auto val="1"/>
        <c:lblAlgn val="ctr"/>
        <c:lblOffset val="100"/>
        <c:noMultiLvlLbl val="0"/>
      </c:catAx>
      <c:valAx>
        <c:axId val="43100061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FR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Nombre de tiges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365694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FR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Résultat du</a:t>
            </a:r>
            <a:r>
              <a:rPr lang="fr-FR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 préinventaire à Tsiazombazaha (Romiguière, 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préinventaireTsiazombazaha!$L$2</c:f>
              <c:strCache>
                <c:ptCount val="1"/>
                <c:pt idx="0">
                  <c:v>Nha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préinventaireTsiazombazaha!$L$3:$L$15</c:f>
              <c:numCache>
                <c:formatCode>General</c:formatCode>
                <c:ptCount val="13"/>
                <c:pt idx="0">
                  <c:v>9437.5</c:v>
                </c:pt>
                <c:pt idx="1">
                  <c:v>7031.25</c:v>
                </c:pt>
                <c:pt idx="2">
                  <c:v>4750</c:v>
                </c:pt>
                <c:pt idx="3">
                  <c:v>3437.5</c:v>
                </c:pt>
                <c:pt idx="4">
                  <c:v>2656.25</c:v>
                </c:pt>
                <c:pt idx="5">
                  <c:v>2031.25</c:v>
                </c:pt>
                <c:pt idx="6">
                  <c:v>1625</c:v>
                </c:pt>
                <c:pt idx="7">
                  <c:v>1343.75</c:v>
                </c:pt>
                <c:pt idx="8">
                  <c:v>1093.75</c:v>
                </c:pt>
                <c:pt idx="9">
                  <c:v>968.75</c:v>
                </c:pt>
                <c:pt idx="10">
                  <c:v>781.25</c:v>
                </c:pt>
                <c:pt idx="11">
                  <c:v>687.5</c:v>
                </c:pt>
                <c:pt idx="12">
                  <c:v>593.75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894464"/>
        <c:axId val="88433086"/>
      </c:lineChart>
      <c:lineChart>
        <c:grouping val="stacked"/>
        <c:varyColors val="0"/>
        <c:ser>
          <c:idx val="1"/>
          <c:order val="1"/>
          <c:tx>
            <c:strRef>
              <c:f>préinventaireTsiazombazaha!$J$2</c:f>
              <c:strCache>
                <c:ptCount val="1"/>
                <c:pt idx="0">
                  <c:v>Gha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préinventaireTsiazombazaha!$J$3:$J$15</c:f>
              <c:numCache>
                <c:formatCode>General</c:formatCode>
                <c:ptCount val="13"/>
                <c:pt idx="0">
                  <c:v>57.9255689198224</c:v>
                </c:pt>
                <c:pt idx="1">
                  <c:v>56.2246910222148</c:v>
                </c:pt>
                <c:pt idx="2">
                  <c:v>53.3579877258141</c:v>
                </c:pt>
                <c:pt idx="3">
                  <c:v>50.7809000021663</c:v>
                </c:pt>
                <c:pt idx="4">
                  <c:v>48.571967667611</c:v>
                </c:pt>
                <c:pt idx="5">
                  <c:v>46.1666857922063</c:v>
                </c:pt>
                <c:pt idx="6">
                  <c:v>44.1246505673729</c:v>
                </c:pt>
                <c:pt idx="7">
                  <c:v>42.3354153763831</c:v>
                </c:pt>
                <c:pt idx="8">
                  <c:v>40.3719199678895</c:v>
                </c:pt>
                <c:pt idx="9">
                  <c:v>39.1840052457508</c:v>
                </c:pt>
                <c:pt idx="10">
                  <c:v>37.0634302045777</c:v>
                </c:pt>
                <c:pt idx="11">
                  <c:v>35.8190649894449</c:v>
                </c:pt>
                <c:pt idx="12">
                  <c:v>34.3758958642021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580483"/>
        <c:axId val="23424918"/>
      </c:lineChart>
      <c:catAx>
        <c:axId val="88944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FR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Diamètre</a:t>
                </a:r>
                <a:r>
                  <a:rPr lang="fr-FR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 de précomptage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88433086"/>
        <c:crosses val="autoZero"/>
        <c:auto val="1"/>
        <c:lblAlgn val="ctr"/>
        <c:lblOffset val="100"/>
        <c:noMultiLvlLbl val="0"/>
      </c:catAx>
      <c:valAx>
        <c:axId val="8843308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FR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Nombre de tiges (N/ha)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8894464"/>
        <c:crosses val="autoZero"/>
        <c:crossBetween val="between"/>
      </c:valAx>
      <c:catAx>
        <c:axId val="8458048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23424918"/>
        <c:auto val="1"/>
        <c:lblAlgn val="ctr"/>
        <c:lblOffset val="100"/>
        <c:noMultiLvlLbl val="0"/>
      </c:catAx>
      <c:valAx>
        <c:axId val="23424918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FR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Surface terrière (m2/ha)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8458048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Titre du diagramme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préinventaireTsiazombazaha!$K$2</c:f>
              <c:strCache>
                <c:ptCount val="1"/>
                <c:pt idx="0">
                  <c:v>G%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préinventaireTsiazombazaha!$G$2:$G$15</c:f>
              <c:strCache>
                <c:ptCount val="14"/>
                <c:pt idx="0">
                  <c:v>DBH précomptage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</c:strCache>
            </c:strRef>
          </c:cat>
          <c:val>
            <c:numRef>
              <c:f>préinventaireTsiazombazaha!$K$3:$K$15</c:f>
              <c:numCache>
                <c:formatCode>General</c:formatCode>
                <c:ptCount val="13"/>
                <c:pt idx="0">
                  <c:v>1</c:v>
                </c:pt>
                <c:pt idx="1">
                  <c:v>0.97</c:v>
                </c:pt>
                <c:pt idx="2">
                  <c:v>0.92</c:v>
                </c:pt>
                <c:pt idx="3">
                  <c:v>0.88</c:v>
                </c:pt>
                <c:pt idx="4">
                  <c:v>0.84</c:v>
                </c:pt>
                <c:pt idx="5">
                  <c:v>0.8</c:v>
                </c:pt>
                <c:pt idx="6">
                  <c:v>0.76</c:v>
                </c:pt>
                <c:pt idx="7">
                  <c:v>0.73</c:v>
                </c:pt>
                <c:pt idx="8">
                  <c:v>0.7</c:v>
                </c:pt>
                <c:pt idx="9">
                  <c:v>0.68</c:v>
                </c:pt>
                <c:pt idx="10">
                  <c:v>0.64</c:v>
                </c:pt>
                <c:pt idx="11">
                  <c:v>0.62</c:v>
                </c:pt>
                <c:pt idx="12">
                  <c:v>0.59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préinventaireTsiazombazaha!$M$2</c:f>
              <c:strCache>
                <c:ptCount val="1"/>
                <c:pt idx="0">
                  <c:v>N%</c:v>
                </c:pt>
              </c:strCache>
            </c:strRef>
          </c:tx>
          <c:spPr>
            <a:solidFill>
              <a:srgbClr val="0D3A4E"/>
            </a:solidFill>
            <a:ln cap="rnd" w="28440">
              <a:solidFill>
                <a:srgbClr val="0D3A4E"/>
              </a:solidFill>
              <a:round/>
            </a:ln>
          </c:spPr>
          <c:marker>
            <c:symbol val="circle"/>
            <c:size val="5"/>
            <c:spPr>
              <a:solidFill>
                <a:srgbClr val="0D3A4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préinventaireTsiazombazaha!$G$2:$G$15</c:f>
              <c:strCache>
                <c:ptCount val="14"/>
                <c:pt idx="0">
                  <c:v>DBH précomptage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</c:strCache>
            </c:strRef>
          </c:cat>
          <c:val>
            <c:numRef>
              <c:f>préinventaireTsiazombazaha!$M$3:$M$15</c:f>
              <c:numCache>
                <c:formatCode>General</c:formatCode>
                <c:ptCount val="1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0.36</c:v>
                </c:pt>
                <c:pt idx="4">
                  <c:v>0.28</c:v>
                </c:pt>
                <c:pt idx="5">
                  <c:v>0.22</c:v>
                </c:pt>
                <c:pt idx="6">
                  <c:v>0.17</c:v>
                </c:pt>
                <c:pt idx="7">
                  <c:v>0.14</c:v>
                </c:pt>
                <c:pt idx="8">
                  <c:v>0.12</c:v>
                </c:pt>
                <c:pt idx="9">
                  <c:v>0.1</c:v>
                </c:pt>
                <c:pt idx="10">
                  <c:v>0.08</c:v>
                </c:pt>
                <c:pt idx="11">
                  <c:v>0.07</c:v>
                </c:pt>
                <c:pt idx="12">
                  <c:v>0.06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724370"/>
        <c:axId val="70026335"/>
      </c:lineChart>
      <c:catAx>
        <c:axId val="307243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Titre de l'axe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70026335"/>
        <c:crosses val="autoZero"/>
        <c:auto val="1"/>
        <c:lblAlgn val="ctr"/>
        <c:lblOffset val="100"/>
        <c:noMultiLvlLbl val="0"/>
      </c:catAx>
      <c:valAx>
        <c:axId val="70026335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Titre de l'axe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3072437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</c:dTable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Titre du diagramme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55937924202957"/>
          <c:y val="0.064842155803625"/>
          <c:w val="0.936915287815974"/>
          <c:h val="0.831088704837354"/>
        </c:manualLayout>
      </c:layout>
      <c:scatterChart>
        <c:scatterStyle val="lineMarker"/>
        <c:varyColors val="0"/>
        <c:ser>
          <c:idx val="0"/>
          <c:order val="0"/>
          <c:tx>
            <c:strRef>
              <c:f>preinventaire2!$P$3</c:f>
              <c:strCache>
                <c:ptCount val="1"/>
                <c:pt idx="0">
                  <c:v>somme %G320</c:v>
                </c:pt>
              </c:strCache>
            </c:strRef>
          </c:tx>
          <c:spPr>
            <a:solidFill>
              <a:srgbClr val="156082"/>
            </a:solidFill>
            <a:ln cap="rnd" w="1908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preinventaire2!$O$4:$O$125</c:f>
              <c:numCache>
                <c:formatCode>General</c:formatCode>
                <c:ptCount val="122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8.5</c:v>
                </c:pt>
                <c:pt idx="4">
                  <c:v>9</c:v>
                </c:pt>
                <c:pt idx="5">
                  <c:v>9.5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48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  <c:pt idx="52">
                  <c:v>56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63</c:v>
                </c:pt>
                <c:pt idx="58">
                  <c:v>64</c:v>
                </c:pt>
                <c:pt idx="59">
                  <c:v>65</c:v>
                </c:pt>
                <c:pt idx="60">
                  <c:v>66</c:v>
                </c:pt>
                <c:pt idx="61">
                  <c:v>67</c:v>
                </c:pt>
                <c:pt idx="62">
                  <c:v>68</c:v>
                </c:pt>
                <c:pt idx="63">
                  <c:v>69</c:v>
                </c:pt>
                <c:pt idx="64">
                  <c:v>70</c:v>
                </c:pt>
                <c:pt idx="65">
                  <c:v>71</c:v>
                </c:pt>
                <c:pt idx="66">
                  <c:v>72</c:v>
                </c:pt>
                <c:pt idx="67">
                  <c:v>73</c:v>
                </c:pt>
                <c:pt idx="68">
                  <c:v>74</c:v>
                </c:pt>
                <c:pt idx="69">
                  <c:v>75</c:v>
                </c:pt>
                <c:pt idx="70">
                  <c:v>77</c:v>
                </c:pt>
                <c:pt idx="71">
                  <c:v>78</c:v>
                </c:pt>
                <c:pt idx="72">
                  <c:v>80</c:v>
                </c:pt>
                <c:pt idx="73">
                  <c:v>81</c:v>
                </c:pt>
                <c:pt idx="74">
                  <c:v>82</c:v>
                </c:pt>
                <c:pt idx="75">
                  <c:v>83</c:v>
                </c:pt>
                <c:pt idx="76">
                  <c:v>84</c:v>
                </c:pt>
                <c:pt idx="77">
                  <c:v>85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97</c:v>
                </c:pt>
                <c:pt idx="88">
                  <c:v>99</c:v>
                </c:pt>
                <c:pt idx="89">
                  <c:v>100</c:v>
                </c:pt>
                <c:pt idx="90">
                  <c:v>102</c:v>
                </c:pt>
                <c:pt idx="91">
                  <c:v>103</c:v>
                </c:pt>
                <c:pt idx="92">
                  <c:v>104</c:v>
                </c:pt>
                <c:pt idx="93">
                  <c:v>105</c:v>
                </c:pt>
                <c:pt idx="94">
                  <c:v>106</c:v>
                </c:pt>
                <c:pt idx="95">
                  <c:v>107</c:v>
                </c:pt>
                <c:pt idx="96">
                  <c:v>109</c:v>
                </c:pt>
                <c:pt idx="97">
                  <c:v>110</c:v>
                </c:pt>
                <c:pt idx="98">
                  <c:v>113</c:v>
                </c:pt>
                <c:pt idx="99">
                  <c:v>116</c:v>
                </c:pt>
                <c:pt idx="100">
                  <c:v>120</c:v>
                </c:pt>
                <c:pt idx="101">
                  <c:v>122</c:v>
                </c:pt>
                <c:pt idx="102">
                  <c:v>124</c:v>
                </c:pt>
                <c:pt idx="103">
                  <c:v>125</c:v>
                </c:pt>
                <c:pt idx="104">
                  <c:v>126</c:v>
                </c:pt>
                <c:pt idx="105">
                  <c:v>128</c:v>
                </c:pt>
                <c:pt idx="106">
                  <c:v>138</c:v>
                </c:pt>
                <c:pt idx="107">
                  <c:v>144</c:v>
                </c:pt>
                <c:pt idx="108">
                  <c:v>148</c:v>
                </c:pt>
                <c:pt idx="109">
                  <c:v>150</c:v>
                </c:pt>
                <c:pt idx="110">
                  <c:v>151</c:v>
                </c:pt>
                <c:pt idx="111">
                  <c:v>162</c:v>
                </c:pt>
                <c:pt idx="112">
                  <c:v>164</c:v>
                </c:pt>
                <c:pt idx="113">
                  <c:v>165</c:v>
                </c:pt>
                <c:pt idx="114">
                  <c:v>170</c:v>
                </c:pt>
                <c:pt idx="115">
                  <c:v>183</c:v>
                </c:pt>
                <c:pt idx="116">
                  <c:v>210</c:v>
                </c:pt>
                <c:pt idx="117">
                  <c:v>212</c:v>
                </c:pt>
                <c:pt idx="118">
                  <c:v>230</c:v>
                </c:pt>
                <c:pt idx="119">
                  <c:v>237</c:v>
                </c:pt>
                <c:pt idx="120">
                  <c:v>266</c:v>
                </c:pt>
                <c:pt idx="121">
                  <c:v>317</c:v>
                </c:pt>
              </c:numCache>
            </c:numRef>
          </c:xVal>
          <c:yVal>
            <c:numRef>
              <c:f>preinventaire2!$P$4:$P$125</c:f>
              <c:numCache>
                <c:formatCode>General</c:formatCode>
                <c:ptCount val="122"/>
                <c:pt idx="0">
                  <c:v>99.9981002994403</c:v>
                </c:pt>
                <c:pt idx="1">
                  <c:v>99.9722432640444</c:v>
                </c:pt>
                <c:pt idx="2">
                  <c:v>98.9759558594021</c:v>
                </c:pt>
                <c:pt idx="3">
                  <c:v>98.9416425180425</c:v>
                </c:pt>
                <c:pt idx="4">
                  <c:v>98.5184842183695</c:v>
                </c:pt>
                <c:pt idx="5">
                  <c:v>98.5137217746053</c:v>
                </c:pt>
                <c:pt idx="6">
                  <c:v>97.6008101167498</c:v>
                </c:pt>
                <c:pt idx="7">
                  <c:v>97.1155421626666</c:v>
                </c:pt>
                <c:pt idx="8">
                  <c:v>96.4924403790853</c:v>
                </c:pt>
                <c:pt idx="9">
                  <c:v>95.6630627763965</c:v>
                </c:pt>
                <c:pt idx="10">
                  <c:v>94.9597514136279</c:v>
                </c:pt>
                <c:pt idx="11">
                  <c:v>94.1405055472576</c:v>
                </c:pt>
                <c:pt idx="12">
                  <c:v>93.5190923863959</c:v>
                </c:pt>
                <c:pt idx="13">
                  <c:v>92.7260729416415</c:v>
                </c:pt>
                <c:pt idx="14">
                  <c:v>92.059278045187</c:v>
                </c:pt>
                <c:pt idx="15">
                  <c:v>91.5449341186484</c:v>
                </c:pt>
                <c:pt idx="16">
                  <c:v>90.6795149747854</c:v>
                </c:pt>
                <c:pt idx="17">
                  <c:v>90.0977316783775</c:v>
                </c:pt>
                <c:pt idx="18">
                  <c:v>89.4336807938427</c:v>
                </c:pt>
                <c:pt idx="19">
                  <c:v>89.0987002618157</c:v>
                </c:pt>
                <c:pt idx="20">
                  <c:v>88.673167336443</c:v>
                </c:pt>
                <c:pt idx="21">
                  <c:v>87.9475872615579</c:v>
                </c:pt>
                <c:pt idx="22">
                  <c:v>87.3054884723795</c:v>
                </c:pt>
                <c:pt idx="23">
                  <c:v>86.8438612363726</c:v>
                </c:pt>
                <c:pt idx="24">
                  <c:v>86.3060349001378</c:v>
                </c:pt>
                <c:pt idx="25">
                  <c:v>85.7291063940491</c:v>
                </c:pt>
                <c:pt idx="26">
                  <c:v>84.5892860582295</c:v>
                </c:pt>
                <c:pt idx="27">
                  <c:v>84.2850173519177</c:v>
                </c:pt>
                <c:pt idx="28">
                  <c:v>83.5825503005089</c:v>
                </c:pt>
                <c:pt idx="29">
                  <c:v>83.3526865327853</c:v>
                </c:pt>
                <c:pt idx="30">
                  <c:v>82.6816700795315</c:v>
                </c:pt>
                <c:pt idx="31">
                  <c:v>82.6170274910417</c:v>
                </c:pt>
                <c:pt idx="32">
                  <c:v>81.8647460694008</c:v>
                </c:pt>
                <c:pt idx="33">
                  <c:v>81.3590563343009</c:v>
                </c:pt>
                <c:pt idx="34">
                  <c:v>80.9780608331612</c:v>
                </c:pt>
                <c:pt idx="35">
                  <c:v>80.5767490899247</c:v>
                </c:pt>
                <c:pt idx="36">
                  <c:v>79.816868866045</c:v>
                </c:pt>
                <c:pt idx="37">
                  <c:v>79.728163403799</c:v>
                </c:pt>
                <c:pt idx="38">
                  <c:v>79.355822094098</c:v>
                </c:pt>
                <c:pt idx="39">
                  <c:v>79.2582513625734</c:v>
                </c:pt>
                <c:pt idx="40">
                  <c:v>78.8496046643981</c:v>
                </c:pt>
                <c:pt idx="41">
                  <c:v>78.3153138819827</c:v>
                </c:pt>
                <c:pt idx="42">
                  <c:v>78.091993527298</c:v>
                </c:pt>
                <c:pt idx="43">
                  <c:v>77.858858053055</c:v>
                </c:pt>
                <c:pt idx="44">
                  <c:v>77.6156963814134</c:v>
                </c:pt>
                <c:pt idx="45">
                  <c:v>77.4889969079735</c:v>
                </c:pt>
                <c:pt idx="46">
                  <c:v>76.8293786580779</c:v>
                </c:pt>
                <c:pt idx="47">
                  <c:v>76.6921252926396</c:v>
                </c:pt>
                <c:pt idx="48">
                  <c:v>76.12137081337</c:v>
                </c:pt>
                <c:pt idx="49">
                  <c:v>75.3802237477873</c:v>
                </c:pt>
                <c:pt idx="50">
                  <c:v>75.072472257116</c:v>
                </c:pt>
                <c:pt idx="51">
                  <c:v>74.7532170241666</c:v>
                </c:pt>
                <c:pt idx="52">
                  <c:v>74.422246971099</c:v>
                </c:pt>
                <c:pt idx="53">
                  <c:v>74.2447305076871</c:v>
                </c:pt>
                <c:pt idx="54">
                  <c:v>73.8773495272252</c:v>
                </c:pt>
                <c:pt idx="55">
                  <c:v>73.3074393593154</c:v>
                </c:pt>
                <c:pt idx="56">
                  <c:v>73.1110841986865</c:v>
                </c:pt>
                <c:pt idx="57">
                  <c:v>72.6922002252728</c:v>
                </c:pt>
                <c:pt idx="58">
                  <c:v>72.2599128090213</c:v>
                </c:pt>
                <c:pt idx="59">
                  <c:v>71.5910599036271</c:v>
                </c:pt>
                <c:pt idx="60">
                  <c:v>71.3611961359035</c:v>
                </c:pt>
                <c:pt idx="61">
                  <c:v>70.650549818196</c:v>
                </c:pt>
                <c:pt idx="62">
                  <c:v>70.4065438351946</c:v>
                </c:pt>
                <c:pt idx="63">
                  <c:v>70.1553084361744</c:v>
                </c:pt>
                <c:pt idx="64">
                  <c:v>69.1210270203382</c:v>
                </c:pt>
                <c:pt idx="65">
                  <c:v>68.5890053247024</c:v>
                </c:pt>
                <c:pt idx="66">
                  <c:v>68.3154484441057</c:v>
                </c:pt>
                <c:pt idx="67">
                  <c:v>67.7530315395147</c:v>
                </c:pt>
                <c:pt idx="68">
                  <c:v>67.4640659766004</c:v>
                </c:pt>
                <c:pt idx="69">
                  <c:v>66.8704095516944</c:v>
                </c:pt>
                <c:pt idx="70">
                  <c:v>66.557539423404</c:v>
                </c:pt>
                <c:pt idx="71">
                  <c:v>66.2364900288148</c:v>
                </c:pt>
                <c:pt idx="72">
                  <c:v>64.8855918530286</c:v>
                </c:pt>
                <c:pt idx="73">
                  <c:v>63.5007101450078</c:v>
                </c:pt>
                <c:pt idx="74">
                  <c:v>62.7910664470402</c:v>
                </c:pt>
                <c:pt idx="75">
                  <c:v>61.7004800173928</c:v>
                </c:pt>
                <c:pt idx="76">
                  <c:v>61.3281387076918</c:v>
                </c:pt>
                <c:pt idx="77">
                  <c:v>60.5656200108125</c:v>
                </c:pt>
                <c:pt idx="78">
                  <c:v>59.7667959254589</c:v>
                </c:pt>
                <c:pt idx="79">
                  <c:v>59.3581492272836</c:v>
                </c:pt>
                <c:pt idx="80">
                  <c:v>58.9401623346898</c:v>
                </c:pt>
                <c:pt idx="81">
                  <c:v>58.0852970828251</c:v>
                </c:pt>
                <c:pt idx="82">
                  <c:v>57.6483131846343</c:v>
                </c:pt>
                <c:pt idx="83">
                  <c:v>57.201672475265</c:v>
                </c:pt>
                <c:pt idx="84">
                  <c:v>56.2888663563295</c:v>
                </c:pt>
                <c:pt idx="85">
                  <c:v>55.8225954078433</c:v>
                </c:pt>
                <c:pt idx="86">
                  <c:v>55.3463510314187</c:v>
                </c:pt>
                <c:pt idx="87">
                  <c:v>54.8498431823573</c:v>
                </c:pt>
                <c:pt idx="88">
                  <c:v>53.815456227601</c:v>
                </c:pt>
                <c:pt idx="89">
                  <c:v>52.2323724278516</c:v>
                </c:pt>
                <c:pt idx="90">
                  <c:v>51.6833589660985</c:v>
                </c:pt>
                <c:pt idx="91">
                  <c:v>50.5636965639958</c:v>
                </c:pt>
                <c:pt idx="92">
                  <c:v>49.9929420847261</c:v>
                </c:pt>
                <c:pt idx="93">
                  <c:v>49.4111587883182</c:v>
                </c:pt>
                <c:pt idx="94">
                  <c:v>48.8182411358521</c:v>
                </c:pt>
                <c:pt idx="95">
                  <c:v>48.2140835884077</c:v>
                </c:pt>
                <c:pt idx="96">
                  <c:v>46.9601756800862</c:v>
                </c:pt>
                <c:pt idx="97">
                  <c:v>43.1291128846927</c:v>
                </c:pt>
                <c:pt idx="98">
                  <c:v>41.781486415426</c:v>
                </c:pt>
                <c:pt idx="99">
                  <c:v>41.0714205617784</c:v>
                </c:pt>
                <c:pt idx="100">
                  <c:v>40.3115403378987</c:v>
                </c:pt>
                <c:pt idx="101">
                  <c:v>39.526119695383</c:v>
                </c:pt>
                <c:pt idx="102">
                  <c:v>38.7147364785515</c:v>
                </c:pt>
                <c:pt idx="103">
                  <c:v>37.890213666182</c:v>
                </c:pt>
                <c:pt idx="104">
                  <c:v>37.0524457193546</c:v>
                </c:pt>
                <c:pt idx="105">
                  <c:v>36.1878708868515</c:v>
                </c:pt>
                <c:pt idx="106">
                  <c:v>34.1779876946896</c:v>
                </c:pt>
                <c:pt idx="107">
                  <c:v>31.9895326499161</c:v>
                </c:pt>
                <c:pt idx="108">
                  <c:v>30.833670398259</c:v>
                </c:pt>
                <c:pt idx="109">
                  <c:v>29.646357548447</c:v>
                </c:pt>
                <c:pt idx="110">
                  <c:v>28.4431610911775</c:v>
                </c:pt>
                <c:pt idx="111">
                  <c:v>27.0582793831567</c:v>
                </c:pt>
                <c:pt idx="112">
                  <c:v>24.219704591286</c:v>
                </c:pt>
                <c:pt idx="113">
                  <c:v>22.7830560430135</c:v>
                </c:pt>
                <c:pt idx="114">
                  <c:v>21.2580186492549</c:v>
                </c:pt>
                <c:pt idx="115">
                  <c:v>19.4908222035946</c:v>
                </c:pt>
                <c:pt idx="116">
                  <c:v>17.163689017963</c:v>
                </c:pt>
                <c:pt idx="117">
                  <c:v>14.7920184080985</c:v>
                </c:pt>
                <c:pt idx="118">
                  <c:v>12.0005139745404</c:v>
                </c:pt>
                <c:pt idx="119">
                  <c:v>9.03650617626957</c:v>
                </c:pt>
                <c:pt idx="120">
                  <c:v>5.30275026510063</c:v>
                </c:pt>
                <c:pt idx="121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preinventaire2!$Q$3</c:f>
              <c:strCache>
                <c:ptCount val="1"/>
                <c:pt idx="0">
                  <c:v>%N320 non-comptées</c:v>
                </c:pt>
              </c:strCache>
            </c:strRef>
          </c:tx>
          <c:spPr>
            <a:solidFill>
              <a:srgbClr val="E97132"/>
            </a:solidFill>
            <a:ln cap="rnd" w="19080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Pt>
            <c:idx val="2"/>
            <c:marker>
              <c:symbol val="circle"/>
              <c:size val="5"/>
              <c:spPr>
                <a:solidFill>
                  <a:srgbClr val="E97132"/>
                </a:solidFill>
              </c:spPr>
            </c:marker>
          </c:dPt>
          <c:dPt>
            <c:idx val="6"/>
            <c:marker>
              <c:symbol val="circle"/>
              <c:size val="5"/>
              <c:spPr>
                <a:solidFill>
                  <a:srgbClr val="E97132"/>
                </a:solidFill>
              </c:spPr>
            </c:marker>
          </c:dPt>
          <c:dPt>
            <c:idx val="13"/>
            <c:marker>
              <c:symbol val="circle"/>
              <c:size val="5"/>
              <c:spPr>
                <a:solidFill>
                  <a:srgbClr val="E97132"/>
                </a:solidFill>
              </c:spPr>
            </c:marker>
          </c:dPt>
          <c:dPt>
            <c:idx val="16"/>
            <c:marker>
              <c:symbol val="circle"/>
              <c:size val="5"/>
              <c:spPr>
                <a:solidFill>
                  <a:srgbClr val="E97132"/>
                </a:solidFill>
              </c:spPr>
            </c:marker>
          </c:dPt>
          <c:dPt>
            <c:idx val="18"/>
            <c:marker>
              <c:symbol val="circle"/>
              <c:size val="5"/>
              <c:spPr>
                <a:solidFill>
                  <a:srgbClr val="E97132"/>
                </a:solidFill>
              </c:spPr>
            </c:marker>
          </c:dPt>
          <c:dPt>
            <c:idx val="26"/>
            <c:marker>
              <c:symbol val="circle"/>
              <c:size val="5"/>
              <c:spPr>
                <a:solidFill>
                  <a:srgbClr val="E97132"/>
                </a:solidFill>
              </c:spPr>
            </c:marker>
          </c:dPt>
          <c:dLbls>
            <c:dLbl>
              <c:idx val="2"/>
              <c:layout>
                <c:manualLayout>
                  <c:x val="0.0130476041208512"/>
                  <c:y val="0.00165636298033956"/>
                </c:manualLayout>
              </c:layout>
              <c:numFmt formatCode="General" sourceLinked="1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Aptos Narrow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eparator>; </c:separator>
            </c:dLbl>
            <c:dLbl>
              <c:idx val="6"/>
              <c:layout>
                <c:manualLayout>
                  <c:x val="0.0141349044642554"/>
                  <c:y val="0.00496908894101862"/>
                </c:manualLayout>
              </c:layout>
              <c:numFmt formatCode="General" sourceLinked="1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Aptos Narrow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eparator>; </c:separator>
            </c:dLbl>
            <c:dLbl>
              <c:idx val="13"/>
              <c:layout>
                <c:manualLayout>
                  <c:x val="-0.0358809113323408"/>
                  <c:y val="0.00745363341152801"/>
                </c:manualLayout>
              </c:layout>
              <c:numFmt formatCode="General" sourceLinked="1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Aptos Narrow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eparator>; </c:separator>
            </c:dLbl>
            <c:dLbl>
              <c:idx val="16"/>
              <c:layout>
                <c:manualLayout>
                  <c:x val="-0.0347936109889365"/>
                  <c:y val="0.00662545192135823"/>
                </c:manualLayout>
              </c:layout>
              <c:numFmt formatCode="General" sourceLinked="1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Aptos Narrow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eparator>; </c:separator>
            </c:dLbl>
            <c:dLbl>
              <c:idx val="18"/>
              <c:layout>
                <c:manualLayout>
                  <c:x val="-0.0344311775411351"/>
                  <c:y val="0.0165636298033955"/>
                </c:manualLayout>
              </c:layout>
              <c:numFmt formatCode="General" sourceLinked="1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Aptos Narrow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eparator>; </c:separator>
            </c:dLbl>
            <c:dLbl>
              <c:idx val="26"/>
              <c:layout>
                <c:manualLayout>
                  <c:x val="-0.0271825085851066"/>
                  <c:y val="0.0125708545825318"/>
                </c:manualLayout>
              </c:layout>
              <c:numFmt formatCode="General" sourceLinked="1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Aptos Narrow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eparator>; </c:separator>
            </c:dLbl>
            <c:spPr>
              <a:solidFill>
                <a:srgbClr val="FFFFFF"/>
              </a:solidFill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preinventaire2!$O$4:$O$125</c:f>
              <c:numCache>
                <c:formatCode>General</c:formatCode>
                <c:ptCount val="122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8.5</c:v>
                </c:pt>
                <c:pt idx="4">
                  <c:v>9</c:v>
                </c:pt>
                <c:pt idx="5">
                  <c:v>9.5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48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  <c:pt idx="52">
                  <c:v>56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63</c:v>
                </c:pt>
                <c:pt idx="58">
                  <c:v>64</c:v>
                </c:pt>
                <c:pt idx="59">
                  <c:v>65</c:v>
                </c:pt>
                <c:pt idx="60">
                  <c:v>66</c:v>
                </c:pt>
                <c:pt idx="61">
                  <c:v>67</c:v>
                </c:pt>
                <c:pt idx="62">
                  <c:v>68</c:v>
                </c:pt>
                <c:pt idx="63">
                  <c:v>69</c:v>
                </c:pt>
                <c:pt idx="64">
                  <c:v>70</c:v>
                </c:pt>
                <c:pt idx="65">
                  <c:v>71</c:v>
                </c:pt>
                <c:pt idx="66">
                  <c:v>72</c:v>
                </c:pt>
                <c:pt idx="67">
                  <c:v>73</c:v>
                </c:pt>
                <c:pt idx="68">
                  <c:v>74</c:v>
                </c:pt>
                <c:pt idx="69">
                  <c:v>75</c:v>
                </c:pt>
                <c:pt idx="70">
                  <c:v>77</c:v>
                </c:pt>
                <c:pt idx="71">
                  <c:v>78</c:v>
                </c:pt>
                <c:pt idx="72">
                  <c:v>80</c:v>
                </c:pt>
                <c:pt idx="73">
                  <c:v>81</c:v>
                </c:pt>
                <c:pt idx="74">
                  <c:v>82</c:v>
                </c:pt>
                <c:pt idx="75">
                  <c:v>83</c:v>
                </c:pt>
                <c:pt idx="76">
                  <c:v>84</c:v>
                </c:pt>
                <c:pt idx="77">
                  <c:v>85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97</c:v>
                </c:pt>
                <c:pt idx="88">
                  <c:v>99</c:v>
                </c:pt>
                <c:pt idx="89">
                  <c:v>100</c:v>
                </c:pt>
                <c:pt idx="90">
                  <c:v>102</c:v>
                </c:pt>
                <c:pt idx="91">
                  <c:v>103</c:v>
                </c:pt>
                <c:pt idx="92">
                  <c:v>104</c:v>
                </c:pt>
                <c:pt idx="93">
                  <c:v>105</c:v>
                </c:pt>
                <c:pt idx="94">
                  <c:v>106</c:v>
                </c:pt>
                <c:pt idx="95">
                  <c:v>107</c:v>
                </c:pt>
                <c:pt idx="96">
                  <c:v>109</c:v>
                </c:pt>
                <c:pt idx="97">
                  <c:v>110</c:v>
                </c:pt>
                <c:pt idx="98">
                  <c:v>113</c:v>
                </c:pt>
                <c:pt idx="99">
                  <c:v>116</c:v>
                </c:pt>
                <c:pt idx="100">
                  <c:v>120</c:v>
                </c:pt>
                <c:pt idx="101">
                  <c:v>122</c:v>
                </c:pt>
                <c:pt idx="102">
                  <c:v>124</c:v>
                </c:pt>
                <c:pt idx="103">
                  <c:v>125</c:v>
                </c:pt>
                <c:pt idx="104">
                  <c:v>126</c:v>
                </c:pt>
                <c:pt idx="105">
                  <c:v>128</c:v>
                </c:pt>
                <c:pt idx="106">
                  <c:v>138</c:v>
                </c:pt>
                <c:pt idx="107">
                  <c:v>144</c:v>
                </c:pt>
                <c:pt idx="108">
                  <c:v>148</c:v>
                </c:pt>
                <c:pt idx="109">
                  <c:v>150</c:v>
                </c:pt>
                <c:pt idx="110">
                  <c:v>151</c:v>
                </c:pt>
                <c:pt idx="111">
                  <c:v>162</c:v>
                </c:pt>
                <c:pt idx="112">
                  <c:v>164</c:v>
                </c:pt>
                <c:pt idx="113">
                  <c:v>165</c:v>
                </c:pt>
                <c:pt idx="114">
                  <c:v>170</c:v>
                </c:pt>
                <c:pt idx="115">
                  <c:v>183</c:v>
                </c:pt>
                <c:pt idx="116">
                  <c:v>210</c:v>
                </c:pt>
                <c:pt idx="117">
                  <c:v>212</c:v>
                </c:pt>
                <c:pt idx="118">
                  <c:v>230</c:v>
                </c:pt>
                <c:pt idx="119">
                  <c:v>237</c:v>
                </c:pt>
                <c:pt idx="120">
                  <c:v>266</c:v>
                </c:pt>
                <c:pt idx="121">
                  <c:v>317</c:v>
                </c:pt>
              </c:numCache>
            </c:numRef>
          </c:xVal>
          <c:yVal>
            <c:numRef>
              <c:f>preinventaire2!$Q$4:$Q$125</c:f>
              <c:numCache>
                <c:formatCode>General</c:formatCode>
                <c:ptCount val="122"/>
                <c:pt idx="0">
                  <c:v>99.936948297604</c:v>
                </c:pt>
                <c:pt idx="1">
                  <c:v>99.3064312736444</c:v>
                </c:pt>
                <c:pt idx="2">
                  <c:v>80.7061790668348</c:v>
                </c:pt>
                <c:pt idx="3">
                  <c:v>80.1387137452711</c:v>
                </c:pt>
                <c:pt idx="4">
                  <c:v>73.8965952080706</c:v>
                </c:pt>
                <c:pt idx="5">
                  <c:v>73.8335435056747</c:v>
                </c:pt>
                <c:pt idx="6">
                  <c:v>62.9255989911728</c:v>
                </c:pt>
                <c:pt idx="7">
                  <c:v>58.1336696090795</c:v>
                </c:pt>
                <c:pt idx="8">
                  <c:v>52.9634300126103</c:v>
                </c:pt>
                <c:pt idx="9">
                  <c:v>47.0996216897856</c:v>
                </c:pt>
                <c:pt idx="10">
                  <c:v>42.81210592686</c:v>
                </c:pt>
                <c:pt idx="11">
                  <c:v>38.4615384615385</c:v>
                </c:pt>
                <c:pt idx="12">
                  <c:v>35.5611601513241</c:v>
                </c:pt>
                <c:pt idx="13">
                  <c:v>32.2824716267339</c:v>
                </c:pt>
                <c:pt idx="14">
                  <c:v>29.8234552332913</c:v>
                </c:pt>
                <c:pt idx="15">
                  <c:v>28.1210592686003</c:v>
                </c:pt>
                <c:pt idx="16">
                  <c:v>25.5359394703657</c:v>
                </c:pt>
                <c:pt idx="17">
                  <c:v>23.9596469104666</c:v>
                </c:pt>
                <c:pt idx="18">
                  <c:v>22.3203026481715</c:v>
                </c:pt>
                <c:pt idx="19">
                  <c:v>21.5636822194199</c:v>
                </c:pt>
                <c:pt idx="20">
                  <c:v>20.6809583858764</c:v>
                </c:pt>
                <c:pt idx="21">
                  <c:v>19.2938209331652</c:v>
                </c:pt>
                <c:pt idx="22">
                  <c:v>18.1588902900378</c:v>
                </c:pt>
                <c:pt idx="23">
                  <c:v>17.4022698612863</c:v>
                </c:pt>
                <c:pt idx="24">
                  <c:v>16.5825977301387</c:v>
                </c:pt>
                <c:pt idx="25">
                  <c:v>15.7629255989912</c:v>
                </c:pt>
                <c:pt idx="26">
                  <c:v>14.249684741488</c:v>
                </c:pt>
                <c:pt idx="27">
                  <c:v>13.8713745271122</c:v>
                </c:pt>
                <c:pt idx="28">
                  <c:v>13.0517023959647</c:v>
                </c:pt>
                <c:pt idx="29">
                  <c:v>12.7994955863808</c:v>
                </c:pt>
                <c:pt idx="30">
                  <c:v>12.1059268600252</c:v>
                </c:pt>
                <c:pt idx="31">
                  <c:v>12.0428751576293</c:v>
                </c:pt>
                <c:pt idx="32">
                  <c:v>11.3493064312736</c:v>
                </c:pt>
                <c:pt idx="33">
                  <c:v>10.9079445145019</c:v>
                </c:pt>
                <c:pt idx="34">
                  <c:v>10.5926860025221</c:v>
                </c:pt>
                <c:pt idx="35">
                  <c:v>10.2774274905423</c:v>
                </c:pt>
                <c:pt idx="36">
                  <c:v>9.70996216897856</c:v>
                </c:pt>
                <c:pt idx="37">
                  <c:v>9.6469104665826</c:v>
                </c:pt>
                <c:pt idx="38">
                  <c:v>9.39470365699874</c:v>
                </c:pt>
                <c:pt idx="39">
                  <c:v>9.33165195460278</c:v>
                </c:pt>
                <c:pt idx="40">
                  <c:v>9.07944514501892</c:v>
                </c:pt>
                <c:pt idx="41">
                  <c:v>8.76418663303909</c:v>
                </c:pt>
                <c:pt idx="42">
                  <c:v>8.63808322824717</c:v>
                </c:pt>
                <c:pt idx="43">
                  <c:v>8.51197982345524</c:v>
                </c:pt>
                <c:pt idx="44">
                  <c:v>8.3858764186633</c:v>
                </c:pt>
                <c:pt idx="45">
                  <c:v>8.32282471626733</c:v>
                </c:pt>
                <c:pt idx="46">
                  <c:v>8.00756620428751</c:v>
                </c:pt>
                <c:pt idx="47">
                  <c:v>7.94451450189155</c:v>
                </c:pt>
                <c:pt idx="48">
                  <c:v>7.69230769230769</c:v>
                </c:pt>
                <c:pt idx="49">
                  <c:v>7.37704918032787</c:v>
                </c:pt>
                <c:pt idx="50">
                  <c:v>7.25094577553594</c:v>
                </c:pt>
                <c:pt idx="51">
                  <c:v>7.12484237074401</c:v>
                </c:pt>
                <c:pt idx="52">
                  <c:v>6.99873896595207</c:v>
                </c:pt>
                <c:pt idx="53">
                  <c:v>6.93568726355611</c:v>
                </c:pt>
                <c:pt idx="54">
                  <c:v>6.80958385876419</c:v>
                </c:pt>
                <c:pt idx="55">
                  <c:v>6.62042875157628</c:v>
                </c:pt>
                <c:pt idx="56">
                  <c:v>6.55737704918032</c:v>
                </c:pt>
                <c:pt idx="57">
                  <c:v>6.4312736443884</c:v>
                </c:pt>
                <c:pt idx="58">
                  <c:v>6.30517023959646</c:v>
                </c:pt>
                <c:pt idx="59">
                  <c:v>6.11601513240856</c:v>
                </c:pt>
                <c:pt idx="60">
                  <c:v>6.05296343001261</c:v>
                </c:pt>
                <c:pt idx="61">
                  <c:v>5.86380832282471</c:v>
                </c:pt>
                <c:pt idx="62">
                  <c:v>5.80075662042874</c:v>
                </c:pt>
                <c:pt idx="63">
                  <c:v>5.73770491803278</c:v>
                </c:pt>
                <c:pt idx="64">
                  <c:v>5.48549810844892</c:v>
                </c:pt>
                <c:pt idx="65">
                  <c:v>5.35939470365699</c:v>
                </c:pt>
                <c:pt idx="66">
                  <c:v>5.29634300126104</c:v>
                </c:pt>
                <c:pt idx="67">
                  <c:v>5.1702395964691</c:v>
                </c:pt>
                <c:pt idx="68">
                  <c:v>5.10718789407314</c:v>
                </c:pt>
                <c:pt idx="69">
                  <c:v>4.9810844892812</c:v>
                </c:pt>
                <c:pt idx="70">
                  <c:v>4.91803278688525</c:v>
                </c:pt>
                <c:pt idx="71">
                  <c:v>4.85498108448928</c:v>
                </c:pt>
                <c:pt idx="72">
                  <c:v>4.60277427490541</c:v>
                </c:pt>
                <c:pt idx="73">
                  <c:v>4.35056746532156</c:v>
                </c:pt>
                <c:pt idx="74">
                  <c:v>4.22446406052963</c:v>
                </c:pt>
                <c:pt idx="75">
                  <c:v>4.03530895334174</c:v>
                </c:pt>
                <c:pt idx="76">
                  <c:v>3.97225725094577</c:v>
                </c:pt>
                <c:pt idx="77">
                  <c:v>3.84615384615384</c:v>
                </c:pt>
                <c:pt idx="78">
                  <c:v>3.72005044136192</c:v>
                </c:pt>
                <c:pt idx="79">
                  <c:v>3.65699873896595</c:v>
                </c:pt>
                <c:pt idx="80">
                  <c:v>3.59394703656999</c:v>
                </c:pt>
                <c:pt idx="81">
                  <c:v>3.46784363177805</c:v>
                </c:pt>
                <c:pt idx="82">
                  <c:v>3.40479192938209</c:v>
                </c:pt>
                <c:pt idx="83">
                  <c:v>3.34174022698613</c:v>
                </c:pt>
                <c:pt idx="84">
                  <c:v>3.2156368221942</c:v>
                </c:pt>
                <c:pt idx="85">
                  <c:v>3.15258511979823</c:v>
                </c:pt>
                <c:pt idx="86">
                  <c:v>3.08953341740227</c:v>
                </c:pt>
                <c:pt idx="87">
                  <c:v>3.0264817150063</c:v>
                </c:pt>
                <c:pt idx="88">
                  <c:v>2.90037831021438</c:v>
                </c:pt>
                <c:pt idx="89">
                  <c:v>2.71122320302648</c:v>
                </c:pt>
                <c:pt idx="90">
                  <c:v>2.64817150063051</c:v>
                </c:pt>
                <c:pt idx="91">
                  <c:v>2.52206809583859</c:v>
                </c:pt>
                <c:pt idx="92">
                  <c:v>2.45901639344262</c:v>
                </c:pt>
                <c:pt idx="93">
                  <c:v>2.39596469104666</c:v>
                </c:pt>
                <c:pt idx="94">
                  <c:v>2.33291298865069</c:v>
                </c:pt>
                <c:pt idx="95">
                  <c:v>2.26986128625472</c:v>
                </c:pt>
                <c:pt idx="96">
                  <c:v>2.1437578814628</c:v>
                </c:pt>
                <c:pt idx="97">
                  <c:v>1.76544766708702</c:v>
                </c:pt>
                <c:pt idx="98">
                  <c:v>1.63934426229508</c:v>
                </c:pt>
                <c:pt idx="99">
                  <c:v>1.57629255989912</c:v>
                </c:pt>
                <c:pt idx="100">
                  <c:v>1.51324085750315</c:v>
                </c:pt>
                <c:pt idx="101">
                  <c:v>1.45018915510718</c:v>
                </c:pt>
                <c:pt idx="102">
                  <c:v>1.38713745271122</c:v>
                </c:pt>
                <c:pt idx="103">
                  <c:v>1.32408575031526</c:v>
                </c:pt>
                <c:pt idx="104">
                  <c:v>1.2610340479193</c:v>
                </c:pt>
                <c:pt idx="105">
                  <c:v>1.19798234552333</c:v>
                </c:pt>
                <c:pt idx="106">
                  <c:v>1.0718789407314</c:v>
                </c:pt>
                <c:pt idx="107">
                  <c:v>0.945775535939475</c:v>
                </c:pt>
                <c:pt idx="108">
                  <c:v>0.882723833543508</c:v>
                </c:pt>
                <c:pt idx="109">
                  <c:v>0.819672131147541</c:v>
                </c:pt>
                <c:pt idx="110">
                  <c:v>0.756620428751575</c:v>
                </c:pt>
                <c:pt idx="111">
                  <c:v>0.693568726355608</c:v>
                </c:pt>
                <c:pt idx="112">
                  <c:v>0.567465321563688</c:v>
                </c:pt>
                <c:pt idx="113">
                  <c:v>0.504413619167721</c:v>
                </c:pt>
                <c:pt idx="114">
                  <c:v>0.441361916771754</c:v>
                </c:pt>
                <c:pt idx="115">
                  <c:v>0.378310214375787</c:v>
                </c:pt>
                <c:pt idx="116">
                  <c:v>0.31525851197982</c:v>
                </c:pt>
                <c:pt idx="117">
                  <c:v>0.252206809583853</c:v>
                </c:pt>
                <c:pt idx="118">
                  <c:v>0.189155107187901</c:v>
                </c:pt>
                <c:pt idx="119">
                  <c:v>0.126103404791934</c:v>
                </c:pt>
                <c:pt idx="120">
                  <c:v>0.0630517023959669</c:v>
                </c:pt>
                <c:pt idx="121">
                  <c:v>0</c:v>
                </c:pt>
              </c:numCache>
            </c:numRef>
          </c:yVal>
          <c:smooth val="0"/>
        </c:ser>
        <c:axId val="96616507"/>
        <c:axId val="27681435"/>
      </c:scatterChart>
      <c:valAx>
        <c:axId val="96616507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>
                <a:alpha val="99000"/>
              </a:srgb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27681435"/>
        <c:crosses val="autoZero"/>
        <c:crossBetween val="midCat"/>
        <c:majorUnit val="5"/>
      </c:valAx>
      <c:valAx>
        <c:axId val="27681435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96616507"/>
        <c:crossesAt val="0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26</xdr:col>
      <xdr:colOff>93240</xdr:colOff>
      <xdr:row>1</xdr:row>
      <xdr:rowOff>18000</xdr:rowOff>
    </xdr:from>
    <xdr:to>
      <xdr:col>35</xdr:col>
      <xdr:colOff>697320</xdr:colOff>
      <xdr:row>17</xdr:row>
      <xdr:rowOff>139320</xdr:rowOff>
    </xdr:to>
    <xdr:graphicFrame>
      <xdr:nvGraphicFramePr>
        <xdr:cNvPr id="1" name="Chart 1"/>
        <xdr:cNvGraphicFramePr/>
      </xdr:nvGraphicFramePr>
      <xdr:xfrm>
        <a:off x="13162680" y="199080"/>
        <a:ext cx="6009840" cy="3016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30600</xdr:colOff>
      <xdr:row>18</xdr:row>
      <xdr:rowOff>20520</xdr:rowOff>
    </xdr:from>
    <xdr:to>
      <xdr:col>20</xdr:col>
      <xdr:colOff>174960</xdr:colOff>
      <xdr:row>35</xdr:row>
      <xdr:rowOff>176040</xdr:rowOff>
    </xdr:to>
    <xdr:graphicFrame>
      <xdr:nvGraphicFramePr>
        <xdr:cNvPr id="2" name="Chart 2"/>
        <xdr:cNvGraphicFramePr/>
      </xdr:nvGraphicFramePr>
      <xdr:xfrm>
        <a:off x="4165200" y="3278160"/>
        <a:ext cx="7639200" cy="323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85320</xdr:colOff>
      <xdr:row>18</xdr:row>
      <xdr:rowOff>27000</xdr:rowOff>
    </xdr:from>
    <xdr:to>
      <xdr:col>34</xdr:col>
      <xdr:colOff>806040</xdr:colOff>
      <xdr:row>39</xdr:row>
      <xdr:rowOff>115920</xdr:rowOff>
    </xdr:to>
    <xdr:graphicFrame>
      <xdr:nvGraphicFramePr>
        <xdr:cNvPr id="3" name="Chart 3"/>
        <xdr:cNvGraphicFramePr/>
      </xdr:nvGraphicFramePr>
      <xdr:xfrm>
        <a:off x="11954880" y="3284640"/>
        <a:ext cx="6366240" cy="3889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466200</xdr:colOff>
      <xdr:row>30</xdr:row>
      <xdr:rowOff>66240</xdr:rowOff>
    </xdr:from>
    <xdr:to>
      <xdr:col>58</xdr:col>
      <xdr:colOff>421200</xdr:colOff>
      <xdr:row>113</xdr:row>
      <xdr:rowOff>40680</xdr:rowOff>
    </xdr:to>
    <xdr:graphicFrame>
      <xdr:nvGraphicFramePr>
        <xdr:cNvPr id="4" name="Chart 1"/>
        <xdr:cNvGraphicFramePr/>
      </xdr:nvGraphicFramePr>
      <xdr:xfrm>
        <a:off x="3178800" y="5495400"/>
        <a:ext cx="39249720" cy="1499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589" createdVersion="3">
  <cacheSource type="worksheet">
    <worksheetSource ref="A1:K1590" sheet="flore"/>
  </cacheSource>
  <cacheFields count="11">
    <cacheField name="Transect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MilieuType" numFmtId="0">
      <sharedItems count="8">
        <s v="Ambalavolo"/>
        <s v="Ambodimarohita"/>
        <s v="Ambodivoahangy"/>
        <s v="AndasyVazaha"/>
        <s v="Antavibe"/>
        <s v="Bevoatavy"/>
        <s v="Forêt protégée"/>
        <s v="Sahanavaka I"/>
      </sharedItems>
    </cacheField>
    <cacheField name="Nom Gasy" numFmtId="0">
      <sharedItems count="141">
        <s v="Afopotsy"/>
        <s v="Afotra"/>
        <s v="Alampona"/>
        <s v="Ambilazona"/>
        <s v="Ambora"/>
        <s v="Ampaliala"/>
        <s v="Ampalifotsy"/>
        <s v="Ampaly"/>
        <s v="Angavoadilahy"/>
        <s v="Angavoadivavy"/>
        <s v="Angavoady"/>
        <s v="Aviavy"/>
        <s v="Babona"/>
        <s v="Bararaky"/>
        <s v="Bararata"/>
        <s v="Befelatanana"/>
        <s v="Beravy"/>
        <s v="Bevorovoka"/>
        <s v="Elatrangidina"/>
        <s v="Fahavalonkazo"/>
        <s v="Fandramanana"/>
        <s v="Fandrianakanga"/>
        <s v="Fanoantsoagnana"/>
        <s v="Fantsinakoho"/>
        <s v="Faralaotra"/>
        <s v="Fatsikasitra"/>
        <s v="Fenakarana"/>
        <s v="Fontigna"/>
        <s v="Hanona"/>
        <s v="Harina"/>
        <s v="Hasina"/>
        <s v="Hasinalahy"/>
        <s v="Hazo1"/>
        <s v="Hazo2"/>
        <s v="Hazo3"/>
        <s v="Hazo4"/>
        <s v="Hazo5"/>
        <s v="Hazo8"/>
        <s v="Hazoaraka"/>
        <s v="Hazomaimbo"/>
        <s v="Hazomainty"/>
        <s v="Hazomalandy"/>
        <s v="Hazomalany"/>
        <s v="Hazomamy"/>
        <s v="Hazombary"/>
        <s v="Hazombato"/>
        <s v="Hazomena"/>
        <s v="Hazondambo"/>
        <s v="Hazotavolo"/>
        <s v="Hodibiby"/>
        <s v="Kabokala"/>
        <s v="Kabokalalahy"/>
        <s v="Kabokalavavy"/>
        <s v="Kabota"/>
        <s v="Kimba"/>
        <s v="Kimbaletaka"/>
        <s v="Kizy"/>
        <s v="Kogna"/>
        <s v="Koraka"/>
        <s v="Lafa"/>
        <s v="Lakamboalavo"/>
        <s v="Lalona"/>
        <s v="Lambignana"/>
        <s v="Lambignandahy"/>
        <s v="Lendemy"/>
        <s v="Logno"/>
        <s v="Longatra"/>
        <s v="Madiorano"/>
        <s v="Magna"/>
        <s v="Mahitsiatoraky"/>
        <s v="Makavalia"/>
        <s v="Malandivony"/>
        <s v="Malemiravy"/>
        <s v="Mamiranony"/>
        <s v="Manasavelo"/>
        <s v="Mandresy"/>
        <s v="Mandriravy"/>
        <s v="Mandronono"/>
        <s v="Manoro"/>
        <s v="Manoroala"/>
        <s v="Manorolahy"/>
        <s v="Manovalagna"/>
        <s v="Marombody"/>
        <s v="Matsoraka"/>
        <s v="Mavalia"/>
        <s v="Menafatagna"/>
        <s v="Menahihy"/>
        <s v="Menazatagna"/>
        <s v="Menga"/>
        <s v="Mokaranana"/>
        <s v="Nato"/>
        <s v="Natopoaka"/>
        <s v="Nivo"/>
        <s v="Raharaha"/>
        <s v="Ramanjavona"/>
        <s v="Ramiavitolo"/>
        <s v="Ramiavona"/>
        <s v="Ramifotsy"/>
        <s v="Ramy"/>
        <s v="Randropody"/>
        <s v="Ravinala"/>
        <s v="Rongampany"/>
        <s v="Rotrala"/>
        <s v="Sakarivohazo"/>
        <s v="Sakatavilona"/>
        <s v="Sakoa"/>
        <s v="Salenjy"/>
        <s v="Sandramy"/>
        <s v="Sanira"/>
        <s v="Saniralahy"/>
        <s v="Sevagna"/>
        <s v="Sily"/>
        <s v="Tamenaky"/>
        <s v="Tarantana"/>
        <s v="Tarantanafotsy"/>
        <s v="Tavia"/>
        <s v="Tavolo"/>
        <s v="Tavoloala"/>
        <s v="Tendrotrazo"/>
        <s v="Tsidikaposa"/>
        <s v="Tsikarakarana"/>
        <s v="Tsilaitra"/>
        <s v="Tsimahamasasokina"/>
        <s v="Tsingena"/>
        <s v="Tsirikala"/>
        <s v="Tsitabitabaka"/>
        <s v="Tsokazo"/>
        <s v="Tsotso"/>
        <s v="Vahohy"/>
        <s v="Valotra"/>
        <s v="Varongy"/>
        <s v="Vilona"/>
        <s v="Voamalimpangady"/>
        <s v="Voamboana"/>
        <s v="Voantsilagna"/>
        <s v="Voapakivavy"/>
        <s v="Voapaky"/>
        <s v="Vodihazo"/>
        <s v="Votogna"/>
        <s v="Zagna"/>
        <s v="Zarofady"/>
      </sharedItems>
    </cacheField>
    <cacheField name="Nom latin" numFmtId="0">
      <sharedItems containsBlank="1" count="130">
        <s v="Abrahamia sp"/>
        <s v="Acalypha sp"/>
        <s v="Ampalis dimepate"/>
        <s v="Annona sp"/>
        <s v="Anthocleista amplexicaulis"/>
        <s v="Anthocleista madagascariensis"/>
        <s v="Anthocleista sp"/>
        <s v="Antidesma madagascariense"/>
        <s v="Aphloia theiformis"/>
        <s v="Artabotrys sp"/>
        <s v="Baronia taratana"/>
        <s v="Berteria sp"/>
        <s v="Bridelia tulasneana"/>
        <s v="Burasaia australis"/>
        <s v="Calophyllum sp"/>
        <s v="Campylospermum obtusifolium"/>
        <s v="Campylospermum sp"/>
        <s v="Canarium madagascariense "/>
        <s v="Canephora sp"/>
        <s v="Canthium sp"/>
        <s v="Casearia nigrescens"/>
        <s v="Chassalia sp"/>
        <s v="Chrysophyllum boivinianum"/>
        <s v="Cinamonum sp"/>
        <s v="Cnestis polyphylla"/>
        <s v="Colea sp"/>
        <s v="Colubrina faraloatra"/>
        <s v="Cordyline sp"/>
        <s v="Cryptocarya sp"/>
        <s v="Dalbergia baronii"/>
        <s v="Danais sp"/>
        <s v="Decarydendron sp"/>
        <s v="Delonix sp"/>
        <s v="Dillenia triquetra"/>
        <s v="Dilobeia thouarsii"/>
        <s v="Diospyros gracilipes"/>
        <s v="Diospyros sp"/>
        <s v="Dombeya sp"/>
        <s v="Doratoxylon sp"/>
        <s v="Doratoxylon stipulatum"/>
        <s v="Dracaena reflexa"/>
        <s v="Dracaena sp"/>
        <s v="Drypetes madagascariensis"/>
        <s v="Dypsis decipiens"/>
        <s v="Dypsis fibrosa"/>
        <s v="Dypsis mananjarensis"/>
        <s v="Dypsis nodifera"/>
        <s v="Dypsis prestoniana"/>
        <s v="Dypsis sp"/>
        <s v="Elaeocarpus sp"/>
        <s v="Elaeodendron sp"/>
        <s v="Erythroxylum sp"/>
        <s v="Erythroxylum sphaeranthum"/>
        <s v="Eugenia sp"/>
        <s v="Fenerivia humbertii"/>
        <s v="Ficus sp"/>
        <s v="Gaertnera sp"/>
        <s v="Gallienia sclerophylla"/>
        <s v="Garcinia lowryi"/>
        <s v="Garcinia sp"/>
        <s v="Garcinia thouvenotii"/>
        <s v="Geniostoma sp"/>
        <s v="Grewia macrophylla"/>
        <s v="Grewia sp"/>
        <s v="Gymnanthemum sp"/>
        <s v="Hibiscus sp"/>
        <s v="Labramia louvelii"/>
        <s v="Macaranga cuspidata"/>
        <s v="Macaranga sp"/>
        <s v="Macphersonia radkoferi"/>
        <s v="Macphersonia sp"/>
        <s v="Mammea sp"/>
        <s v="Mascarenhasia arborescens"/>
        <s v="Mauloutchia chapelieri"/>
        <s v="Mauloutchia sp"/>
        <s v="Melicope sp"/>
        <s v="Memecylon sp"/>
        <s v="Myrciaria sp"/>
        <s v="Mystroxylon aethiopicum"/>
        <s v="Neotina sp"/>
        <s v="Noronhia sp"/>
        <s v="Nuxia involucra"/>
        <s v="Ocotea sp"/>
        <s v="Palicourea sp"/>
        <s v="Pandanus leptopodus"/>
        <s v="Pandanus sp"/>
        <s v="Peponidium sp"/>
        <s v="Petchia erythrocarpa"/>
        <s v="Phyllarthron articulatum"/>
        <s v="Pittosporum sp"/>
        <s v="Plagioscyphus sp"/>
        <s v="Plagioscyphus stelechanthus"/>
        <s v="Polyalthia sp"/>
        <s v="Polycardia libera"/>
        <s v="Psychotria lantzii"/>
        <s v="Psychotria sp"/>
        <s v="Ravenala madagascariensis"/>
        <s v="Rinorea sp"/>
        <s v="Saldinia proboscidea"/>
        <s v="Saldinia sp"/>
        <s v="Schizolaena rosea"/>
        <s v="Schizolaena sp"/>
        <s v="Sideroxylon betsimisarakum "/>
        <s v="Sorindeia madagascariensis"/>
        <s v="Streblus sp"/>
        <s v="Strychnopsis thouarsii"/>
        <s v="Strychnos sp"/>
        <s v="Symphonia louvelii"/>
        <s v="Symphonia sp"/>
        <s v="Syzygium cumini"/>
        <s v="Syzygium sp"/>
        <s v="Tabernaemontana sp"/>
        <s v="Tambourissa sp"/>
        <s v="Trema orientale"/>
        <s v="Tricalyia sp"/>
        <s v="Trilepisium madagascariense"/>
        <s v="Uapaca ferruginea"/>
        <s v="Uapaca louvelii"/>
        <s v="Uapaca sp"/>
        <s v="Uapaca thouarsii"/>
        <s v="Viguieranthus subauriculatus"/>
        <s v="Vitex sp"/>
        <s v="Voacanga thouarsii"/>
        <s v="Weinmannia sp"/>
        <s v="Wielandia sp"/>
        <s v="Wielandia tanalorum"/>
        <s v="Xylopia buxifolia"/>
        <s v="Xylopia sp"/>
        <s v="Zanthoxyllum madagascariense"/>
        <m/>
      </sharedItems>
    </cacheField>
    <cacheField name="Famille" numFmtId="0">
      <sharedItems containsBlank="1" count="52">
        <s v="Anacardiaceae"/>
        <s v="Annonaceae"/>
        <s v="Aphloiaceae"/>
        <s v="Apocynaceae"/>
        <s v="Araceae"/>
        <s v="Arecaceae"/>
        <s v="Asparagaceae"/>
        <s v="Asteraceae"/>
        <s v="Bignoniaceae"/>
        <s v="Burseraceae"/>
        <s v="Calophyllaceae"/>
        <s v="Cannabaceae"/>
        <s v="Celastraceae"/>
        <s v="Clusiaceae"/>
        <s v="Connaraceae"/>
        <s v="Cunnoniaceae"/>
        <s v="Dilleniaceae"/>
        <s v="Ebenaceae"/>
        <s v="Elaeocarpaceae"/>
        <s v="Erythroxylaceae"/>
        <s v="Euphorbiaceae"/>
        <s v="Fabaceae"/>
        <s v="Gentianaceae"/>
        <s v="Lamiaceae"/>
        <s v="Lauraceae"/>
        <s v="Loganiaceae"/>
        <s v="Malvaceae"/>
        <s v="Melastomataceae"/>
        <s v="Meliaceae"/>
        <s v="Menispermaceae"/>
        <s v="Monimiaceae"/>
        <s v="Moraceae"/>
        <s v="Myristicaceae"/>
        <s v="Myrtaceae"/>
        <s v="Ochnaceae"/>
        <s v="Oleaceae"/>
        <s v="Pandanaceae"/>
        <s v="Phyllanthaceae"/>
        <s v="Pittosporaceae"/>
        <s v="Proteaceae"/>
        <s v="Putranjivaceae"/>
        <s v="Rhamnaceae"/>
        <s v="Rubiaceae"/>
        <s v="Rutaceae"/>
        <s v="Salicaceae"/>
        <s v="Sapindaceae"/>
        <s v="Sapotaceae"/>
        <s v="Sarcolaenaceae"/>
        <s v="Stilbaceae"/>
        <s v="Strelitziaceae"/>
        <s v="Violaceae"/>
        <m/>
      </sharedItems>
    </cacheField>
    <cacheField name="Statut IUCN" numFmtId="0">
      <sharedItems containsBlank="1" count="7">
        <s v="CR"/>
        <s v="EN"/>
        <s v="LC"/>
        <s v="NE"/>
        <s v="NT"/>
        <s v="VU"/>
        <m/>
      </sharedItems>
    </cacheField>
    <cacheField name="DBH (cm)" numFmtId="0">
      <sharedItems containsSemiMixedTypes="0" containsString="0" containsNumber="1" minValue="0" maxValue="100.903997962821" count="148">
        <n v="0"/>
        <n v="0.636618283677107"/>
        <n v="1.90985485103132"/>
        <n v="2.22816399286988"/>
        <n v="2.54647313470843"/>
        <n v="2.86478227654698"/>
        <n v="3"/>
        <n v="3.02393684746626"/>
        <n v="3.18309141838554"/>
        <n v="3.50140056022409"/>
        <n v="3.81970970206264"/>
        <n v="4"/>
        <n v="4.1380188439012"/>
        <n v="4.45632798573975"/>
        <n v="4.7746371275783"/>
        <n v="5"/>
        <n v="5.09294626941686"/>
        <n v="5.41125541125541"/>
        <n v="5.72956455309397"/>
        <n v="6"/>
        <n v="6.04787369493252"/>
        <n v="6.36618283677107"/>
        <n v="6.68449197860963"/>
        <n v="7"/>
        <n v="7.00280112044818"/>
        <n v="7.32111026228673"/>
        <n v="7.63941940412529"/>
        <n v="7.95772854596384"/>
        <n v="8"/>
        <n v="8.27603768780239"/>
        <n v="8.59434682964095"/>
        <n v="8.9126559714795"/>
        <n v="9"/>
        <n v="9.23096511331806"/>
        <n v="9.54927425515661"/>
        <n v="9.86758339699516"/>
        <n v="10"/>
        <n v="10.1858925388337"/>
        <n v="10.5042016806723"/>
        <n v="10.8225108225108"/>
        <n v="11"/>
        <n v="11.4591291061879"/>
        <n v="11.7774382480265"/>
        <n v="12"/>
        <n v="12.095747389865"/>
        <n v="12.4140565317036"/>
        <n v="12.7323656735421"/>
        <n v="13"/>
        <n v="13.3689839572193"/>
        <n v="13.6872930990578"/>
        <n v="14"/>
        <n v="14.0056022408964"/>
        <n v="14.3239113827349"/>
        <n v="14.6422205245735"/>
        <n v="14.960529666412"/>
        <n v="15"/>
        <n v="15.2788388082506"/>
        <n v="15.9154570919277"/>
        <n v="16"/>
        <n v="16.2337662337662"/>
        <n v="16.5520753756048"/>
        <n v="16.8703845174433"/>
        <n v="17"/>
        <n v="17.1886936592819"/>
        <n v="17.5070028011205"/>
        <n v="17.825311942959"/>
        <n v="18.4619302266361"/>
        <n v="18.7802393684747"/>
        <n v="19"/>
        <n v="19.0985485103132"/>
        <n v="19.4168576521518"/>
        <n v="19.7351667939903"/>
        <n v="20"/>
        <n v="20.0534759358289"/>
        <n v="20.3717850776674"/>
        <n v="20.690094219506"/>
        <n v="21"/>
        <n v="21.0084033613445"/>
        <n v="21.3267125031831"/>
        <n v="21.6450216450216"/>
        <n v="21.9633307868602"/>
        <n v="22.2816399286988"/>
        <n v="22.9182582123759"/>
        <n v="23"/>
        <n v="23.2365673542144"/>
        <n v="23.554876496053"/>
        <n v="23.8731856378915"/>
        <n v="24.1914947797301"/>
        <n v="24.5098039215686"/>
        <n v="24.8281130634072"/>
        <n v="25"/>
        <n v="25.4647313470843"/>
        <n v="25.7830404889228"/>
        <n v="26"/>
        <n v="26.1013496307614"/>
        <n v="26.4196587726"/>
        <n v="26.7379679144385"/>
        <n v="27.0562770562771"/>
        <n v="27.6928953399542"/>
        <n v="28.0112044817927"/>
        <n v="28.3295136236313"/>
        <n v="28.6478227654698"/>
        <n v="28.9661319073084"/>
        <n v="29.2844410491469"/>
        <n v="29.6027501909855"/>
        <n v="29.921059332824"/>
        <n v="30"/>
        <n v="30.2393684746626"/>
        <n v="30.8759867583397"/>
        <n v="31.8309141838554"/>
        <n v="32"/>
        <n v="32.4675324675325"/>
        <n v="32.785841609371"/>
        <n v="33.1041507512096"/>
        <n v="33.4224598930481"/>
        <n v="33.7407690348867"/>
        <n v="34.0590781767252"/>
        <n v="34.6956964604023"/>
        <n v="35.0140056022409"/>
        <n v="35.9689330277566"/>
        <n v="36"/>
        <n v="37"/>
        <n v="38.1970970206264"/>
        <n v="38.8337153043035"/>
        <n v="39.4703335879807"/>
        <n v="40"/>
        <n v="40.1069518716578"/>
        <n v="40.7435701553349"/>
        <n v="43.9266615737204"/>
        <n v="45.1998981410746"/>
        <n v="46"/>
        <n v="47.1097529921059"/>
        <n v="47.746371275783"/>
        <n v="48.0646804176216"/>
        <n v="50.9294626941686"/>
        <n v="51.5660809778457"/>
        <n v="52.2026992615228"/>
        <n v="52.5210084033613"/>
        <n v="54.1125541125541"/>
        <n v="58.2505729564553"/>
        <n v="63.6618283677107"/>
        <n v="66.8449197860963"/>
        <n v="67.4815380697734"/>
        <n v="73.2111026228673"/>
        <n v="75.4392666157372"/>
        <n v="84.6702317290553"/>
        <n v="91.6730328495034"/>
        <n v="100.903997962821"/>
      </sharedItems>
    </cacheField>
    <cacheField name="Hauteur (m)" numFmtId="0">
      <sharedItems containsSemiMixedTypes="0" containsString="0" containsNumber="1" minValue="0" maxValue="30" count="27">
        <n v="0"/>
        <n v="1"/>
        <n v="1.5"/>
        <n v="2"/>
        <n v="2.3"/>
        <n v="2.5"/>
        <n v="3"/>
        <n v="3.5"/>
        <n v="4"/>
        <n v="4.5"/>
        <n v="5"/>
        <n v="5.5"/>
        <n v="6"/>
        <n v="7"/>
        <n v="8"/>
        <n v="9"/>
        <n v="10"/>
        <n v="11"/>
        <n v="12"/>
        <n v="13"/>
        <n v="15"/>
        <n v="16"/>
        <n v="17"/>
        <n v="20"/>
        <n v="25"/>
        <n v="27"/>
        <n v="30"/>
      </sharedItems>
    </cacheField>
    <cacheField name="Etat" numFmtId="0">
      <sharedItems count="6">
        <s v="Bon"/>
        <s v="M"/>
        <s v="Mauvais"/>
        <s v="Moyen"/>
        <s v="na"/>
        <s v="Très mauvais"/>
      </sharedItems>
    </cacheField>
    <cacheField name="Usage" numFmtId="0">
      <sharedItems containsBlank="1" count="47">
        <s v="Balais"/>
        <s v="Bois construction"/>
        <s v="Bois d'énergie"/>
        <s v="Bois d'énergie et protection aux mauvais"/>
        <s v="Canaux"/>
        <s v="Chapente"/>
        <s v="Charpente"/>
        <s v="Charpente et la colle"/>
        <s v="Charpente et meuble"/>
        <s v="Charpente et mur"/>
        <s v="Charpente et porte"/>
        <s v="Charpente, meuble"/>
        <s v="Charpente, poteau et meuble"/>
        <s v="Charpente, poteau, meuble et outils"/>
        <s v="Clotûre"/>
        <s v="Clôture, poteau et charpente"/>
        <s v="Contre vertige"/>
        <s v="Corde et toit"/>
        <s v="Guitare"/>
        <s v="Liaison mur"/>
        <s v="Médicinal"/>
        <s v="Meuble"/>
        <s v="Mur"/>
        <s v="Mur et bois d'énergie"/>
        <s v="Mur et toit"/>
        <s v="Mur, toit et canal"/>
        <s v="na"/>
        <s v="Outils"/>
        <s v="Passe partout"/>
        <s v="Pilon"/>
        <s v="Pilon et charpente"/>
        <s v="Pilon, Bois construction"/>
        <s v="Pirogue"/>
        <s v="Poteau"/>
        <s v="Poteau et charpente"/>
        <s v="Poteau et meuble"/>
        <s v="Poteau et outils"/>
        <s v="Poteau et pilon"/>
        <s v="Poteau et toit"/>
        <s v="Poteau, toit et bois d'énergie"/>
        <s v="Poteau, toit et mur"/>
        <s v="Poudre Toaka Gasy"/>
        <s v="Protection aux mauvais"/>
        <s v="Protection tonneres"/>
        <s v="Scultage"/>
        <s v="Toit"/>
        <m/>
      </sharedItems>
    </cacheField>
    <cacheField name="Circonférence(cm)" numFmtId="0">
      <sharedItems containsSemiMixedTypes="0" containsString="0" containsNumber="1" minValue="0" maxValue="317" count="124">
        <n v="0"/>
        <n v="2"/>
        <n v="6"/>
        <n v="7"/>
        <n v="8"/>
        <n v="8.5"/>
        <n v="9"/>
        <n v="9.5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8"/>
        <n v="59"/>
        <n v="60"/>
        <n v="61"/>
        <n v="63"/>
        <n v="64"/>
        <n v="65"/>
        <n v="66"/>
        <n v="67"/>
        <n v="68"/>
        <n v="69"/>
        <n v="70"/>
        <n v="71"/>
        <n v="72"/>
        <n v="73"/>
        <n v="74"/>
        <n v="75"/>
        <n v="77"/>
        <n v="78"/>
        <n v="80"/>
        <n v="81"/>
        <n v="82"/>
        <n v="83"/>
        <n v="84"/>
        <n v="85"/>
        <n v="87"/>
        <n v="88"/>
        <n v="89"/>
        <n v="90"/>
        <n v="91"/>
        <n v="92"/>
        <n v="93"/>
        <n v="94"/>
        <n v="95"/>
        <n v="97"/>
        <n v="99"/>
        <n v="100"/>
        <n v="102"/>
        <n v="103"/>
        <n v="104"/>
        <n v="105"/>
        <n v="106"/>
        <n v="107"/>
        <n v="109"/>
        <n v="110"/>
        <n v="113"/>
        <n v="116"/>
        <n v="120"/>
        <n v="122"/>
        <n v="124"/>
        <n v="125"/>
        <n v="126"/>
        <n v="128"/>
        <n v="138"/>
        <n v="144"/>
        <n v="148"/>
        <n v="150"/>
        <n v="151"/>
        <n v="162"/>
        <n v="164"/>
        <n v="165"/>
        <n v="170"/>
        <n v="183"/>
        <n v="210"/>
        <n v="212"/>
        <n v="230"/>
        <n v="237"/>
        <n v="266"/>
        <n v="31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89">
  <r>
    <x v="0"/>
    <x v="6"/>
    <x v="71"/>
    <x v="129"/>
    <x v="51"/>
    <x v="6"/>
    <x v="8"/>
    <x v="0"/>
    <x v="4"/>
    <x v="33"/>
    <x v="8"/>
  </r>
  <r>
    <x v="0"/>
    <x v="6"/>
    <x v="40"/>
    <x v="36"/>
    <x v="17"/>
    <x v="3"/>
    <x v="10"/>
    <x v="0"/>
    <x v="4"/>
    <x v="39"/>
    <x v="10"/>
  </r>
  <r>
    <x v="0"/>
    <x v="6"/>
    <x v="54"/>
    <x v="59"/>
    <x v="13"/>
    <x v="3"/>
    <x v="16"/>
    <x v="0"/>
    <x v="4"/>
    <x v="45"/>
    <x v="14"/>
  </r>
  <r>
    <x v="0"/>
    <x v="6"/>
    <x v="108"/>
    <x v="129"/>
    <x v="51"/>
    <x v="6"/>
    <x v="8"/>
    <x v="0"/>
    <x v="4"/>
    <x v="33"/>
    <x v="8"/>
  </r>
  <r>
    <x v="0"/>
    <x v="6"/>
    <x v="108"/>
    <x v="129"/>
    <x v="51"/>
    <x v="6"/>
    <x v="8"/>
    <x v="0"/>
    <x v="4"/>
    <x v="33"/>
    <x v="8"/>
  </r>
  <r>
    <x v="0"/>
    <x v="6"/>
    <x v="124"/>
    <x v="84"/>
    <x v="36"/>
    <x v="2"/>
    <x v="17"/>
    <x v="0"/>
    <x v="4"/>
    <x v="26"/>
    <x v="15"/>
  </r>
  <r>
    <x v="0"/>
    <x v="6"/>
    <x v="124"/>
    <x v="84"/>
    <x v="36"/>
    <x v="2"/>
    <x v="8"/>
    <x v="0"/>
    <x v="4"/>
    <x v="26"/>
    <x v="8"/>
  </r>
  <r>
    <x v="0"/>
    <x v="6"/>
    <x v="124"/>
    <x v="84"/>
    <x v="36"/>
    <x v="2"/>
    <x v="8"/>
    <x v="0"/>
    <x v="4"/>
    <x v="26"/>
    <x v="8"/>
  </r>
  <r>
    <x v="0"/>
    <x v="6"/>
    <x v="124"/>
    <x v="84"/>
    <x v="36"/>
    <x v="2"/>
    <x v="8"/>
    <x v="0"/>
    <x v="4"/>
    <x v="26"/>
    <x v="8"/>
  </r>
  <r>
    <x v="0"/>
    <x v="6"/>
    <x v="26"/>
    <x v="46"/>
    <x v="5"/>
    <x v="6"/>
    <x v="24"/>
    <x v="0"/>
    <x v="4"/>
    <x v="45"/>
    <x v="20"/>
  </r>
  <r>
    <x v="0"/>
    <x v="6"/>
    <x v="12"/>
    <x v="72"/>
    <x v="3"/>
    <x v="2"/>
    <x v="61"/>
    <x v="0"/>
    <x v="4"/>
    <x v="2"/>
    <x v="51"/>
  </r>
  <r>
    <x v="0"/>
    <x v="6"/>
    <x v="12"/>
    <x v="72"/>
    <x v="3"/>
    <x v="2"/>
    <x v="61"/>
    <x v="0"/>
    <x v="4"/>
    <x v="2"/>
    <x v="51"/>
  </r>
  <r>
    <x v="0"/>
    <x v="6"/>
    <x v="12"/>
    <x v="72"/>
    <x v="3"/>
    <x v="2"/>
    <x v="61"/>
    <x v="0"/>
    <x v="4"/>
    <x v="2"/>
    <x v="51"/>
  </r>
  <r>
    <x v="0"/>
    <x v="6"/>
    <x v="12"/>
    <x v="72"/>
    <x v="3"/>
    <x v="2"/>
    <x v="61"/>
    <x v="0"/>
    <x v="4"/>
    <x v="2"/>
    <x v="51"/>
  </r>
  <r>
    <x v="0"/>
    <x v="6"/>
    <x v="86"/>
    <x v="36"/>
    <x v="17"/>
    <x v="3"/>
    <x v="16"/>
    <x v="0"/>
    <x v="4"/>
    <x v="38"/>
    <x v="14"/>
  </r>
  <r>
    <x v="0"/>
    <x v="6"/>
    <x v="86"/>
    <x v="36"/>
    <x v="17"/>
    <x v="3"/>
    <x v="16"/>
    <x v="0"/>
    <x v="4"/>
    <x v="38"/>
    <x v="14"/>
  </r>
  <r>
    <x v="0"/>
    <x v="6"/>
    <x v="86"/>
    <x v="36"/>
    <x v="17"/>
    <x v="3"/>
    <x v="16"/>
    <x v="0"/>
    <x v="4"/>
    <x v="38"/>
    <x v="14"/>
  </r>
  <r>
    <x v="0"/>
    <x v="6"/>
    <x v="47"/>
    <x v="127"/>
    <x v="1"/>
    <x v="3"/>
    <x v="24"/>
    <x v="0"/>
    <x v="4"/>
    <x v="45"/>
    <x v="20"/>
  </r>
  <r>
    <x v="0"/>
    <x v="6"/>
    <x v="47"/>
    <x v="127"/>
    <x v="1"/>
    <x v="3"/>
    <x v="24"/>
    <x v="0"/>
    <x v="4"/>
    <x v="45"/>
    <x v="20"/>
  </r>
  <r>
    <x v="0"/>
    <x v="6"/>
    <x v="47"/>
    <x v="127"/>
    <x v="1"/>
    <x v="3"/>
    <x v="24"/>
    <x v="0"/>
    <x v="4"/>
    <x v="45"/>
    <x v="20"/>
  </r>
  <r>
    <x v="0"/>
    <x v="6"/>
    <x v="136"/>
    <x v="51"/>
    <x v="19"/>
    <x v="3"/>
    <x v="14"/>
    <x v="0"/>
    <x v="4"/>
    <x v="45"/>
    <x v="13"/>
  </r>
  <r>
    <x v="0"/>
    <x v="6"/>
    <x v="136"/>
    <x v="51"/>
    <x v="19"/>
    <x v="3"/>
    <x v="14"/>
    <x v="0"/>
    <x v="4"/>
    <x v="45"/>
    <x v="13"/>
  </r>
  <r>
    <x v="0"/>
    <x v="6"/>
    <x v="136"/>
    <x v="51"/>
    <x v="19"/>
    <x v="3"/>
    <x v="14"/>
    <x v="0"/>
    <x v="4"/>
    <x v="45"/>
    <x v="13"/>
  </r>
  <r>
    <x v="0"/>
    <x v="6"/>
    <x v="136"/>
    <x v="51"/>
    <x v="19"/>
    <x v="3"/>
    <x v="14"/>
    <x v="0"/>
    <x v="4"/>
    <x v="45"/>
    <x v="13"/>
  </r>
  <r>
    <x v="0"/>
    <x v="6"/>
    <x v="98"/>
    <x v="17"/>
    <x v="9"/>
    <x v="1"/>
    <x v="57"/>
    <x v="0"/>
    <x v="4"/>
    <x v="45"/>
    <x v="48"/>
  </r>
  <r>
    <x v="1"/>
    <x v="6"/>
    <x v="100"/>
    <x v="96"/>
    <x v="49"/>
    <x v="2"/>
    <x v="118"/>
    <x v="0"/>
    <x v="4"/>
    <x v="24"/>
    <x v="99"/>
  </r>
  <r>
    <x v="1"/>
    <x v="6"/>
    <x v="100"/>
    <x v="96"/>
    <x v="49"/>
    <x v="2"/>
    <x v="118"/>
    <x v="0"/>
    <x v="4"/>
    <x v="24"/>
    <x v="99"/>
  </r>
  <r>
    <x v="1"/>
    <x v="6"/>
    <x v="100"/>
    <x v="96"/>
    <x v="49"/>
    <x v="2"/>
    <x v="118"/>
    <x v="0"/>
    <x v="4"/>
    <x v="24"/>
    <x v="99"/>
  </r>
  <r>
    <x v="1"/>
    <x v="6"/>
    <x v="100"/>
    <x v="96"/>
    <x v="49"/>
    <x v="2"/>
    <x v="118"/>
    <x v="0"/>
    <x v="4"/>
    <x v="24"/>
    <x v="99"/>
  </r>
  <r>
    <x v="1"/>
    <x v="6"/>
    <x v="80"/>
    <x v="129"/>
    <x v="31"/>
    <x v="6"/>
    <x v="25"/>
    <x v="0"/>
    <x v="4"/>
    <x v="37"/>
    <x v="21"/>
  </r>
  <r>
    <x v="1"/>
    <x v="6"/>
    <x v="25"/>
    <x v="129"/>
    <x v="51"/>
    <x v="6"/>
    <x v="18"/>
    <x v="0"/>
    <x v="4"/>
    <x v="38"/>
    <x v="16"/>
  </r>
  <r>
    <x v="1"/>
    <x v="6"/>
    <x v="44"/>
    <x v="129"/>
    <x v="1"/>
    <x v="3"/>
    <x v="8"/>
    <x v="0"/>
    <x v="4"/>
    <x v="45"/>
    <x v="8"/>
  </r>
  <r>
    <x v="1"/>
    <x v="6"/>
    <x v="19"/>
    <x v="129"/>
    <x v="3"/>
    <x v="3"/>
    <x v="8"/>
    <x v="0"/>
    <x v="4"/>
    <x v="2"/>
    <x v="8"/>
  </r>
  <r>
    <x v="1"/>
    <x v="6"/>
    <x v="93"/>
    <x v="73"/>
    <x v="32"/>
    <x v="2"/>
    <x v="41"/>
    <x v="0"/>
    <x v="4"/>
    <x v="45"/>
    <x v="34"/>
  </r>
  <r>
    <x v="1"/>
    <x v="6"/>
    <x v="14"/>
    <x v="129"/>
    <x v="42"/>
    <x v="3"/>
    <x v="31"/>
    <x v="0"/>
    <x v="4"/>
    <x v="45"/>
    <x v="26"/>
  </r>
  <r>
    <x v="1"/>
    <x v="6"/>
    <x v="71"/>
    <x v="76"/>
    <x v="27"/>
    <x v="3"/>
    <x v="13"/>
    <x v="0"/>
    <x v="4"/>
    <x v="33"/>
    <x v="12"/>
  </r>
  <r>
    <x v="1"/>
    <x v="6"/>
    <x v="123"/>
    <x v="39"/>
    <x v="45"/>
    <x v="2"/>
    <x v="12"/>
    <x v="0"/>
    <x v="4"/>
    <x v="0"/>
    <x v="11"/>
  </r>
  <r>
    <x v="1"/>
    <x v="6"/>
    <x v="123"/>
    <x v="39"/>
    <x v="45"/>
    <x v="2"/>
    <x v="12"/>
    <x v="0"/>
    <x v="4"/>
    <x v="0"/>
    <x v="11"/>
  </r>
  <r>
    <x v="1"/>
    <x v="6"/>
    <x v="44"/>
    <x v="129"/>
    <x v="1"/>
    <x v="3"/>
    <x v="12"/>
    <x v="0"/>
    <x v="4"/>
    <x v="45"/>
    <x v="11"/>
  </r>
  <r>
    <x v="1"/>
    <x v="6"/>
    <x v="44"/>
    <x v="129"/>
    <x v="1"/>
    <x v="3"/>
    <x v="34"/>
    <x v="0"/>
    <x v="4"/>
    <x v="45"/>
    <x v="28"/>
  </r>
  <r>
    <x v="1"/>
    <x v="6"/>
    <x v="0"/>
    <x v="49"/>
    <x v="18"/>
    <x v="3"/>
    <x v="10"/>
    <x v="0"/>
    <x v="4"/>
    <x v="17"/>
    <x v="10"/>
  </r>
  <r>
    <x v="1"/>
    <x v="6"/>
    <x v="107"/>
    <x v="0"/>
    <x v="0"/>
    <x v="3"/>
    <x v="8"/>
    <x v="0"/>
    <x v="4"/>
    <x v="33"/>
    <x v="8"/>
  </r>
  <r>
    <x v="1"/>
    <x v="6"/>
    <x v="47"/>
    <x v="129"/>
    <x v="51"/>
    <x v="6"/>
    <x v="12"/>
    <x v="0"/>
    <x v="4"/>
    <x v="45"/>
    <x v="11"/>
  </r>
  <r>
    <x v="1"/>
    <x v="6"/>
    <x v="27"/>
    <x v="129"/>
    <x v="51"/>
    <x v="6"/>
    <x v="27"/>
    <x v="0"/>
    <x v="4"/>
    <x v="33"/>
    <x v="23"/>
  </r>
  <r>
    <x v="1"/>
    <x v="6"/>
    <x v="102"/>
    <x v="129"/>
    <x v="51"/>
    <x v="6"/>
    <x v="8"/>
    <x v="0"/>
    <x v="4"/>
    <x v="33"/>
    <x v="8"/>
  </r>
  <r>
    <x v="1"/>
    <x v="6"/>
    <x v="30"/>
    <x v="40"/>
    <x v="6"/>
    <x v="2"/>
    <x v="8"/>
    <x v="0"/>
    <x v="4"/>
    <x v="14"/>
    <x v="8"/>
  </r>
  <r>
    <x v="2"/>
    <x v="1"/>
    <x v="92"/>
    <x v="48"/>
    <x v="5"/>
    <x v="3"/>
    <x v="109"/>
    <x v="0"/>
    <x v="4"/>
    <x v="44"/>
    <x v="91"/>
  </r>
  <r>
    <x v="2"/>
    <x v="1"/>
    <x v="45"/>
    <x v="129"/>
    <x v="51"/>
    <x v="6"/>
    <x v="8"/>
    <x v="0"/>
    <x v="4"/>
    <x v="33"/>
    <x v="8"/>
  </r>
  <r>
    <x v="2"/>
    <x v="1"/>
    <x v="45"/>
    <x v="129"/>
    <x v="51"/>
    <x v="6"/>
    <x v="8"/>
    <x v="0"/>
    <x v="4"/>
    <x v="33"/>
    <x v="8"/>
  </r>
  <r>
    <x v="2"/>
    <x v="1"/>
    <x v="122"/>
    <x v="100"/>
    <x v="47"/>
    <x v="5"/>
    <x v="21"/>
    <x v="0"/>
    <x v="4"/>
    <x v="33"/>
    <x v="18"/>
  </r>
  <r>
    <x v="2"/>
    <x v="1"/>
    <x v="136"/>
    <x v="118"/>
    <x v="37"/>
    <x v="3"/>
    <x v="8"/>
    <x v="0"/>
    <x v="4"/>
    <x v="45"/>
    <x v="8"/>
  </r>
  <r>
    <x v="2"/>
    <x v="1"/>
    <x v="30"/>
    <x v="40"/>
    <x v="6"/>
    <x v="2"/>
    <x v="4"/>
    <x v="0"/>
    <x v="4"/>
    <x v="14"/>
    <x v="4"/>
  </r>
  <r>
    <x v="2"/>
    <x v="1"/>
    <x v="83"/>
    <x v="129"/>
    <x v="51"/>
    <x v="6"/>
    <x v="14"/>
    <x v="0"/>
    <x v="4"/>
    <x v="45"/>
    <x v="13"/>
  </r>
  <r>
    <x v="2"/>
    <x v="1"/>
    <x v="32"/>
    <x v="129"/>
    <x v="51"/>
    <x v="6"/>
    <x v="147"/>
    <x v="0"/>
    <x v="4"/>
    <x v="22"/>
    <x v="123"/>
  </r>
  <r>
    <x v="2"/>
    <x v="1"/>
    <x v="33"/>
    <x v="73"/>
    <x v="32"/>
    <x v="2"/>
    <x v="16"/>
    <x v="0"/>
    <x v="4"/>
    <x v="26"/>
    <x v="14"/>
  </r>
  <r>
    <x v="2"/>
    <x v="1"/>
    <x v="0"/>
    <x v="129"/>
    <x v="51"/>
    <x v="6"/>
    <x v="13"/>
    <x v="0"/>
    <x v="4"/>
    <x v="17"/>
    <x v="12"/>
  </r>
  <r>
    <x v="2"/>
    <x v="1"/>
    <x v="136"/>
    <x v="117"/>
    <x v="37"/>
    <x v="2"/>
    <x v="29"/>
    <x v="0"/>
    <x v="4"/>
    <x v="45"/>
    <x v="24"/>
  </r>
  <r>
    <x v="2"/>
    <x v="1"/>
    <x v="119"/>
    <x v="25"/>
    <x v="8"/>
    <x v="3"/>
    <x v="8"/>
    <x v="0"/>
    <x v="4"/>
    <x v="26"/>
    <x v="8"/>
  </r>
  <r>
    <x v="2"/>
    <x v="1"/>
    <x v="78"/>
    <x v="115"/>
    <x v="31"/>
    <x v="6"/>
    <x v="14"/>
    <x v="0"/>
    <x v="4"/>
    <x v="37"/>
    <x v="13"/>
  </r>
  <r>
    <x v="2"/>
    <x v="1"/>
    <x v="137"/>
    <x v="13"/>
    <x v="29"/>
    <x v="5"/>
    <x v="35"/>
    <x v="0"/>
    <x v="4"/>
    <x v="33"/>
    <x v="29"/>
  </r>
  <r>
    <x v="2"/>
    <x v="1"/>
    <x v="121"/>
    <x v="101"/>
    <x v="47"/>
    <x v="3"/>
    <x v="45"/>
    <x v="0"/>
    <x v="4"/>
    <x v="41"/>
    <x v="11"/>
  </r>
  <r>
    <x v="2"/>
    <x v="1"/>
    <x v="137"/>
    <x v="13"/>
    <x v="29"/>
    <x v="5"/>
    <x v="63"/>
    <x v="0"/>
    <x v="4"/>
    <x v="33"/>
    <x v="16"/>
  </r>
  <r>
    <x v="2"/>
    <x v="1"/>
    <x v="131"/>
    <x v="38"/>
    <x v="45"/>
    <x v="3"/>
    <x v="10"/>
    <x v="0"/>
    <x v="4"/>
    <x v="23"/>
    <x v="10"/>
  </r>
  <r>
    <x v="3"/>
    <x v="1"/>
    <x v="65"/>
    <x v="129"/>
    <x v="51"/>
    <x v="6"/>
    <x v="127"/>
    <x v="0"/>
    <x v="4"/>
    <x v="45"/>
    <x v="107"/>
  </r>
  <r>
    <x v="3"/>
    <x v="1"/>
    <x v="100"/>
    <x v="96"/>
    <x v="49"/>
    <x v="2"/>
    <x v="8"/>
    <x v="0"/>
    <x v="4"/>
    <x v="24"/>
    <x v="8"/>
  </r>
  <r>
    <x v="3"/>
    <x v="1"/>
    <x v="29"/>
    <x v="12"/>
    <x v="37"/>
    <x v="2"/>
    <x v="133"/>
    <x v="0"/>
    <x v="4"/>
    <x v="33"/>
    <x v="112"/>
  </r>
  <r>
    <x v="3"/>
    <x v="1"/>
    <x v="26"/>
    <x v="44"/>
    <x v="5"/>
    <x v="2"/>
    <x v="94"/>
    <x v="0"/>
    <x v="4"/>
    <x v="45"/>
    <x v="76"/>
  </r>
  <r>
    <x v="3"/>
    <x v="1"/>
    <x v="40"/>
    <x v="42"/>
    <x v="40"/>
    <x v="2"/>
    <x v="39"/>
    <x v="0"/>
    <x v="4"/>
    <x v="39"/>
    <x v="32"/>
  </r>
  <r>
    <x v="3"/>
    <x v="1"/>
    <x v="71"/>
    <x v="129"/>
    <x v="51"/>
    <x v="6"/>
    <x v="10"/>
    <x v="0"/>
    <x v="4"/>
    <x v="33"/>
    <x v="10"/>
  </r>
  <r>
    <x v="3"/>
    <x v="1"/>
    <x v="136"/>
    <x v="117"/>
    <x v="37"/>
    <x v="2"/>
    <x v="12"/>
    <x v="0"/>
    <x v="4"/>
    <x v="45"/>
    <x v="11"/>
  </r>
  <r>
    <x v="3"/>
    <x v="1"/>
    <x v="0"/>
    <x v="75"/>
    <x v="43"/>
    <x v="3"/>
    <x v="34"/>
    <x v="0"/>
    <x v="4"/>
    <x v="17"/>
    <x v="28"/>
  </r>
  <r>
    <x v="3"/>
    <x v="1"/>
    <x v="58"/>
    <x v="37"/>
    <x v="26"/>
    <x v="3"/>
    <x v="8"/>
    <x v="0"/>
    <x v="4"/>
    <x v="45"/>
    <x v="8"/>
  </r>
  <r>
    <x v="3"/>
    <x v="1"/>
    <x v="124"/>
    <x v="84"/>
    <x v="36"/>
    <x v="2"/>
    <x v="17"/>
    <x v="0"/>
    <x v="4"/>
    <x v="26"/>
    <x v="15"/>
  </r>
  <r>
    <x v="3"/>
    <x v="1"/>
    <x v="124"/>
    <x v="84"/>
    <x v="36"/>
    <x v="2"/>
    <x v="17"/>
    <x v="0"/>
    <x v="4"/>
    <x v="26"/>
    <x v="15"/>
  </r>
  <r>
    <x v="3"/>
    <x v="1"/>
    <x v="136"/>
    <x v="118"/>
    <x v="37"/>
    <x v="3"/>
    <x v="132"/>
    <x v="0"/>
    <x v="4"/>
    <x v="45"/>
    <x v="111"/>
  </r>
  <r>
    <x v="3"/>
    <x v="1"/>
    <x v="27"/>
    <x v="31"/>
    <x v="30"/>
    <x v="3"/>
    <x v="142"/>
    <x v="0"/>
    <x v="4"/>
    <x v="33"/>
    <x v="119"/>
  </r>
  <r>
    <x v="3"/>
    <x v="1"/>
    <x v="100"/>
    <x v="96"/>
    <x v="49"/>
    <x v="2"/>
    <x v="34"/>
    <x v="0"/>
    <x v="4"/>
    <x v="24"/>
    <x v="28"/>
  </r>
  <r>
    <x v="3"/>
    <x v="1"/>
    <x v="100"/>
    <x v="96"/>
    <x v="49"/>
    <x v="2"/>
    <x v="34"/>
    <x v="0"/>
    <x v="4"/>
    <x v="24"/>
    <x v="28"/>
  </r>
  <r>
    <x v="3"/>
    <x v="1"/>
    <x v="100"/>
    <x v="96"/>
    <x v="49"/>
    <x v="2"/>
    <x v="34"/>
    <x v="0"/>
    <x v="4"/>
    <x v="24"/>
    <x v="28"/>
  </r>
  <r>
    <x v="3"/>
    <x v="1"/>
    <x v="34"/>
    <x v="129"/>
    <x v="51"/>
    <x v="6"/>
    <x v="41"/>
    <x v="0"/>
    <x v="4"/>
    <x v="40"/>
    <x v="34"/>
  </r>
  <r>
    <x v="4"/>
    <x v="1"/>
    <x v="71"/>
    <x v="129"/>
    <x v="51"/>
    <x v="6"/>
    <x v="25"/>
    <x v="0"/>
    <x v="4"/>
    <x v="33"/>
    <x v="21"/>
  </r>
  <r>
    <x v="4"/>
    <x v="1"/>
    <x v="14"/>
    <x v="129"/>
    <x v="51"/>
    <x v="6"/>
    <x v="12"/>
    <x v="0"/>
    <x v="4"/>
    <x v="45"/>
    <x v="11"/>
  </r>
  <r>
    <x v="4"/>
    <x v="1"/>
    <x v="100"/>
    <x v="96"/>
    <x v="49"/>
    <x v="2"/>
    <x v="34"/>
    <x v="0"/>
    <x v="4"/>
    <x v="24"/>
    <x v="28"/>
  </r>
  <r>
    <x v="4"/>
    <x v="1"/>
    <x v="100"/>
    <x v="96"/>
    <x v="49"/>
    <x v="2"/>
    <x v="34"/>
    <x v="0"/>
    <x v="4"/>
    <x v="24"/>
    <x v="28"/>
  </r>
  <r>
    <x v="4"/>
    <x v="1"/>
    <x v="100"/>
    <x v="96"/>
    <x v="49"/>
    <x v="2"/>
    <x v="34"/>
    <x v="0"/>
    <x v="4"/>
    <x v="24"/>
    <x v="28"/>
  </r>
  <r>
    <x v="4"/>
    <x v="1"/>
    <x v="100"/>
    <x v="96"/>
    <x v="49"/>
    <x v="2"/>
    <x v="34"/>
    <x v="0"/>
    <x v="4"/>
    <x v="24"/>
    <x v="28"/>
  </r>
  <r>
    <x v="4"/>
    <x v="1"/>
    <x v="100"/>
    <x v="96"/>
    <x v="49"/>
    <x v="2"/>
    <x v="34"/>
    <x v="0"/>
    <x v="4"/>
    <x v="24"/>
    <x v="28"/>
  </r>
  <r>
    <x v="4"/>
    <x v="1"/>
    <x v="100"/>
    <x v="96"/>
    <x v="49"/>
    <x v="2"/>
    <x v="34"/>
    <x v="0"/>
    <x v="4"/>
    <x v="24"/>
    <x v="28"/>
  </r>
  <r>
    <x v="4"/>
    <x v="1"/>
    <x v="0"/>
    <x v="63"/>
    <x v="26"/>
    <x v="3"/>
    <x v="8"/>
    <x v="0"/>
    <x v="4"/>
    <x v="17"/>
    <x v="8"/>
  </r>
  <r>
    <x v="4"/>
    <x v="1"/>
    <x v="128"/>
    <x v="113"/>
    <x v="11"/>
    <x v="2"/>
    <x v="21"/>
    <x v="0"/>
    <x v="4"/>
    <x v="26"/>
    <x v="18"/>
  </r>
  <r>
    <x v="4"/>
    <x v="1"/>
    <x v="128"/>
    <x v="113"/>
    <x v="11"/>
    <x v="2"/>
    <x v="21"/>
    <x v="0"/>
    <x v="4"/>
    <x v="26"/>
    <x v="18"/>
  </r>
  <r>
    <x v="4"/>
    <x v="1"/>
    <x v="128"/>
    <x v="113"/>
    <x v="11"/>
    <x v="2"/>
    <x v="21"/>
    <x v="0"/>
    <x v="4"/>
    <x v="26"/>
    <x v="18"/>
  </r>
  <r>
    <x v="4"/>
    <x v="1"/>
    <x v="128"/>
    <x v="113"/>
    <x v="11"/>
    <x v="2"/>
    <x v="21"/>
    <x v="0"/>
    <x v="4"/>
    <x v="26"/>
    <x v="18"/>
  </r>
  <r>
    <x v="4"/>
    <x v="1"/>
    <x v="59"/>
    <x v="45"/>
    <x v="5"/>
    <x v="4"/>
    <x v="16"/>
    <x v="0"/>
    <x v="4"/>
    <x v="26"/>
    <x v="14"/>
  </r>
  <r>
    <x v="4"/>
    <x v="1"/>
    <x v="59"/>
    <x v="45"/>
    <x v="5"/>
    <x v="4"/>
    <x v="91"/>
    <x v="0"/>
    <x v="4"/>
    <x v="26"/>
    <x v="74"/>
  </r>
  <r>
    <x v="4"/>
    <x v="1"/>
    <x v="59"/>
    <x v="45"/>
    <x v="5"/>
    <x v="4"/>
    <x v="16"/>
    <x v="0"/>
    <x v="4"/>
    <x v="26"/>
    <x v="14"/>
  </r>
  <r>
    <x v="4"/>
    <x v="1"/>
    <x v="59"/>
    <x v="45"/>
    <x v="5"/>
    <x v="4"/>
    <x v="16"/>
    <x v="0"/>
    <x v="4"/>
    <x v="26"/>
    <x v="14"/>
  </r>
  <r>
    <x v="4"/>
    <x v="1"/>
    <x v="59"/>
    <x v="45"/>
    <x v="5"/>
    <x v="4"/>
    <x v="16"/>
    <x v="0"/>
    <x v="4"/>
    <x v="26"/>
    <x v="14"/>
  </r>
  <r>
    <x v="4"/>
    <x v="1"/>
    <x v="124"/>
    <x v="84"/>
    <x v="36"/>
    <x v="2"/>
    <x v="34"/>
    <x v="0"/>
    <x v="4"/>
    <x v="26"/>
    <x v="28"/>
  </r>
  <r>
    <x v="4"/>
    <x v="1"/>
    <x v="37"/>
    <x v="62"/>
    <x v="26"/>
    <x v="0"/>
    <x v="34"/>
    <x v="0"/>
    <x v="4"/>
    <x v="26"/>
    <x v="28"/>
  </r>
  <r>
    <x v="4"/>
    <x v="1"/>
    <x v="71"/>
    <x v="3"/>
    <x v="1"/>
    <x v="3"/>
    <x v="8"/>
    <x v="0"/>
    <x v="4"/>
    <x v="33"/>
    <x v="8"/>
  </r>
  <r>
    <x v="4"/>
    <x v="1"/>
    <x v="136"/>
    <x v="116"/>
    <x v="37"/>
    <x v="2"/>
    <x v="13"/>
    <x v="0"/>
    <x v="4"/>
    <x v="45"/>
    <x v="12"/>
  </r>
  <r>
    <x v="4"/>
    <x v="1"/>
    <x v="62"/>
    <x v="76"/>
    <x v="27"/>
    <x v="3"/>
    <x v="24"/>
    <x v="0"/>
    <x v="4"/>
    <x v="33"/>
    <x v="20"/>
  </r>
  <r>
    <x v="4"/>
    <x v="1"/>
    <x v="131"/>
    <x v="79"/>
    <x v="45"/>
    <x v="3"/>
    <x v="14"/>
    <x v="0"/>
    <x v="4"/>
    <x v="20"/>
    <x v="13"/>
  </r>
  <r>
    <x v="4"/>
    <x v="1"/>
    <x v="130"/>
    <x v="91"/>
    <x v="45"/>
    <x v="5"/>
    <x v="85"/>
    <x v="0"/>
    <x v="4"/>
    <x v="45"/>
    <x v="70"/>
  </r>
  <r>
    <x v="4"/>
    <x v="1"/>
    <x v="74"/>
    <x v="129"/>
    <x v="51"/>
    <x v="3"/>
    <x v="29"/>
    <x v="0"/>
    <x v="4"/>
    <x v="33"/>
    <x v="24"/>
  </r>
  <r>
    <x v="4"/>
    <x v="1"/>
    <x v="40"/>
    <x v="36"/>
    <x v="17"/>
    <x v="3"/>
    <x v="18"/>
    <x v="0"/>
    <x v="4"/>
    <x v="39"/>
    <x v="16"/>
  </r>
  <r>
    <x v="5"/>
    <x v="1"/>
    <x v="47"/>
    <x v="56"/>
    <x v="42"/>
    <x v="3"/>
    <x v="16"/>
    <x v="10"/>
    <x v="4"/>
    <x v="45"/>
    <x v="14"/>
  </r>
  <r>
    <x v="5"/>
    <x v="1"/>
    <x v="47"/>
    <x v="56"/>
    <x v="42"/>
    <x v="3"/>
    <x v="20"/>
    <x v="10"/>
    <x v="4"/>
    <x v="45"/>
    <x v="17"/>
  </r>
  <r>
    <x v="5"/>
    <x v="1"/>
    <x v="104"/>
    <x v="45"/>
    <x v="5"/>
    <x v="3"/>
    <x v="95"/>
    <x v="23"/>
    <x v="4"/>
    <x v="26"/>
    <x v="77"/>
  </r>
  <r>
    <x v="5"/>
    <x v="1"/>
    <x v="95"/>
    <x v="129"/>
    <x v="51"/>
    <x v="6"/>
    <x v="14"/>
    <x v="5"/>
    <x v="4"/>
    <x v="45"/>
    <x v="13"/>
  </r>
  <r>
    <x v="5"/>
    <x v="1"/>
    <x v="48"/>
    <x v="91"/>
    <x v="45"/>
    <x v="5"/>
    <x v="3"/>
    <x v="5"/>
    <x v="4"/>
    <x v="45"/>
    <x v="3"/>
  </r>
  <r>
    <x v="5"/>
    <x v="1"/>
    <x v="136"/>
    <x v="117"/>
    <x v="37"/>
    <x v="2"/>
    <x v="3"/>
    <x v="5"/>
    <x v="4"/>
    <x v="45"/>
    <x v="3"/>
  </r>
  <r>
    <x v="5"/>
    <x v="1"/>
    <x v="30"/>
    <x v="40"/>
    <x v="6"/>
    <x v="2"/>
    <x v="0"/>
    <x v="3"/>
    <x v="4"/>
    <x v="14"/>
    <x v="0"/>
  </r>
  <r>
    <x v="5"/>
    <x v="1"/>
    <x v="104"/>
    <x v="45"/>
    <x v="5"/>
    <x v="4"/>
    <x v="118"/>
    <x v="23"/>
    <x v="5"/>
    <x v="2"/>
    <x v="99"/>
  </r>
  <r>
    <x v="5"/>
    <x v="1"/>
    <x v="47"/>
    <x v="56"/>
    <x v="42"/>
    <x v="3"/>
    <x v="16"/>
    <x v="6"/>
    <x v="4"/>
    <x v="45"/>
    <x v="14"/>
  </r>
  <r>
    <x v="5"/>
    <x v="1"/>
    <x v="58"/>
    <x v="37"/>
    <x v="26"/>
    <x v="3"/>
    <x v="3"/>
    <x v="6"/>
    <x v="4"/>
    <x v="45"/>
    <x v="3"/>
  </r>
  <r>
    <x v="5"/>
    <x v="1"/>
    <x v="108"/>
    <x v="129"/>
    <x v="51"/>
    <x v="6"/>
    <x v="8"/>
    <x v="2"/>
    <x v="4"/>
    <x v="33"/>
    <x v="8"/>
  </r>
  <r>
    <x v="5"/>
    <x v="1"/>
    <x v="48"/>
    <x v="91"/>
    <x v="45"/>
    <x v="5"/>
    <x v="3"/>
    <x v="6"/>
    <x v="5"/>
    <x v="45"/>
    <x v="3"/>
  </r>
  <r>
    <x v="5"/>
    <x v="1"/>
    <x v="4"/>
    <x v="112"/>
    <x v="30"/>
    <x v="3"/>
    <x v="46"/>
    <x v="20"/>
    <x v="4"/>
    <x v="45"/>
    <x v="38"/>
  </r>
  <r>
    <x v="5"/>
    <x v="1"/>
    <x v="47"/>
    <x v="11"/>
    <x v="42"/>
    <x v="3"/>
    <x v="10"/>
    <x v="10"/>
    <x v="4"/>
    <x v="45"/>
    <x v="10"/>
  </r>
  <r>
    <x v="5"/>
    <x v="1"/>
    <x v="96"/>
    <x v="126"/>
    <x v="1"/>
    <x v="2"/>
    <x v="84"/>
    <x v="23"/>
    <x v="4"/>
    <x v="2"/>
    <x v="69"/>
  </r>
  <r>
    <x v="5"/>
    <x v="1"/>
    <x v="136"/>
    <x v="117"/>
    <x v="37"/>
    <x v="2"/>
    <x v="136"/>
    <x v="23"/>
    <x v="4"/>
    <x v="45"/>
    <x v="114"/>
  </r>
  <r>
    <x v="5"/>
    <x v="1"/>
    <x v="124"/>
    <x v="84"/>
    <x v="36"/>
    <x v="2"/>
    <x v="12"/>
    <x v="13"/>
    <x v="4"/>
    <x v="26"/>
    <x v="11"/>
  </r>
  <r>
    <x v="5"/>
    <x v="1"/>
    <x v="40"/>
    <x v="36"/>
    <x v="17"/>
    <x v="3"/>
    <x v="12"/>
    <x v="13"/>
    <x v="4"/>
    <x v="39"/>
    <x v="11"/>
  </r>
  <r>
    <x v="5"/>
    <x v="1"/>
    <x v="129"/>
    <x v="129"/>
    <x v="51"/>
    <x v="6"/>
    <x v="48"/>
    <x v="20"/>
    <x v="4"/>
    <x v="33"/>
    <x v="40"/>
  </r>
  <r>
    <x v="5"/>
    <x v="1"/>
    <x v="86"/>
    <x v="36"/>
    <x v="17"/>
    <x v="3"/>
    <x v="17"/>
    <x v="16"/>
    <x v="4"/>
    <x v="38"/>
    <x v="15"/>
  </r>
  <r>
    <x v="5"/>
    <x v="1"/>
    <x v="27"/>
    <x v="129"/>
    <x v="51"/>
    <x v="6"/>
    <x v="57"/>
    <x v="13"/>
    <x v="4"/>
    <x v="33"/>
    <x v="48"/>
  </r>
  <r>
    <x v="5"/>
    <x v="1"/>
    <x v="27"/>
    <x v="129"/>
    <x v="51"/>
    <x v="6"/>
    <x v="33"/>
    <x v="16"/>
    <x v="4"/>
    <x v="33"/>
    <x v="27"/>
  </r>
  <r>
    <x v="5"/>
    <x v="1"/>
    <x v="54"/>
    <x v="60"/>
    <x v="13"/>
    <x v="1"/>
    <x v="12"/>
    <x v="13"/>
    <x v="4"/>
    <x v="45"/>
    <x v="11"/>
  </r>
  <r>
    <x v="5"/>
    <x v="1"/>
    <x v="0"/>
    <x v="129"/>
    <x v="51"/>
    <x v="6"/>
    <x v="13"/>
    <x v="12"/>
    <x v="4"/>
    <x v="17"/>
    <x v="12"/>
  </r>
  <r>
    <x v="5"/>
    <x v="1"/>
    <x v="29"/>
    <x v="12"/>
    <x v="37"/>
    <x v="2"/>
    <x v="117"/>
    <x v="23"/>
    <x v="4"/>
    <x v="33"/>
    <x v="98"/>
  </r>
  <r>
    <x v="5"/>
    <x v="1"/>
    <x v="47"/>
    <x v="11"/>
    <x v="42"/>
    <x v="3"/>
    <x v="16"/>
    <x v="13"/>
    <x v="4"/>
    <x v="45"/>
    <x v="14"/>
  </r>
  <r>
    <x v="5"/>
    <x v="1"/>
    <x v="74"/>
    <x v="129"/>
    <x v="51"/>
    <x v="6"/>
    <x v="24"/>
    <x v="19"/>
    <x v="4"/>
    <x v="33"/>
    <x v="20"/>
  </r>
  <r>
    <x v="6"/>
    <x v="1"/>
    <x v="104"/>
    <x v="45"/>
    <x v="5"/>
    <x v="4"/>
    <x v="3"/>
    <x v="7"/>
    <x v="4"/>
    <x v="26"/>
    <x v="3"/>
  </r>
  <r>
    <x v="6"/>
    <x v="1"/>
    <x v="135"/>
    <x v="118"/>
    <x v="37"/>
    <x v="3"/>
    <x v="3"/>
    <x v="5"/>
    <x v="4"/>
    <x v="45"/>
    <x v="3"/>
  </r>
  <r>
    <x v="6"/>
    <x v="1"/>
    <x v="19"/>
    <x v="128"/>
    <x v="43"/>
    <x v="2"/>
    <x v="3"/>
    <x v="7"/>
    <x v="4"/>
    <x v="2"/>
    <x v="3"/>
  </r>
  <r>
    <x v="6"/>
    <x v="1"/>
    <x v="44"/>
    <x v="22"/>
    <x v="46"/>
    <x v="2"/>
    <x v="45"/>
    <x v="18"/>
    <x v="4"/>
    <x v="45"/>
    <x v="37"/>
  </r>
  <r>
    <x v="6"/>
    <x v="1"/>
    <x v="44"/>
    <x v="22"/>
    <x v="46"/>
    <x v="2"/>
    <x v="42"/>
    <x v="18"/>
    <x v="4"/>
    <x v="45"/>
    <x v="35"/>
  </r>
  <r>
    <x v="6"/>
    <x v="1"/>
    <x v="139"/>
    <x v="99"/>
    <x v="42"/>
    <x v="3"/>
    <x v="10"/>
    <x v="6"/>
    <x v="4"/>
    <x v="26"/>
    <x v="10"/>
  </r>
  <r>
    <x v="6"/>
    <x v="1"/>
    <x v="95"/>
    <x v="129"/>
    <x v="51"/>
    <x v="6"/>
    <x v="8"/>
    <x v="5"/>
    <x v="4"/>
    <x v="45"/>
    <x v="8"/>
  </r>
  <r>
    <x v="6"/>
    <x v="1"/>
    <x v="133"/>
    <x v="29"/>
    <x v="21"/>
    <x v="5"/>
    <x v="124"/>
    <x v="20"/>
    <x v="4"/>
    <x v="26"/>
    <x v="104"/>
  </r>
  <r>
    <x v="6"/>
    <x v="1"/>
    <x v="71"/>
    <x v="129"/>
    <x v="42"/>
    <x v="3"/>
    <x v="3"/>
    <x v="5"/>
    <x v="4"/>
    <x v="33"/>
    <x v="3"/>
  </r>
  <r>
    <x v="6"/>
    <x v="1"/>
    <x v="20"/>
    <x v="8"/>
    <x v="2"/>
    <x v="2"/>
    <x v="33"/>
    <x v="14"/>
    <x v="4"/>
    <x v="33"/>
    <x v="27"/>
  </r>
  <r>
    <x v="6"/>
    <x v="1"/>
    <x v="136"/>
    <x v="118"/>
    <x v="37"/>
    <x v="3"/>
    <x v="137"/>
    <x v="23"/>
    <x v="4"/>
    <x v="45"/>
    <x v="115"/>
  </r>
  <r>
    <x v="6"/>
    <x v="1"/>
    <x v="86"/>
    <x v="36"/>
    <x v="17"/>
    <x v="3"/>
    <x v="18"/>
    <x v="14"/>
    <x v="4"/>
    <x v="38"/>
    <x v="16"/>
  </r>
  <r>
    <x v="6"/>
    <x v="1"/>
    <x v="2"/>
    <x v="129"/>
    <x v="1"/>
    <x v="3"/>
    <x v="4"/>
    <x v="6"/>
    <x v="4"/>
    <x v="26"/>
    <x v="4"/>
  </r>
  <r>
    <x v="6"/>
    <x v="1"/>
    <x v="48"/>
    <x v="129"/>
    <x v="51"/>
    <x v="6"/>
    <x v="25"/>
    <x v="18"/>
    <x v="4"/>
    <x v="45"/>
    <x v="21"/>
  </r>
  <r>
    <x v="6"/>
    <x v="1"/>
    <x v="103"/>
    <x v="129"/>
    <x v="51"/>
    <x v="6"/>
    <x v="8"/>
    <x v="5"/>
    <x v="4"/>
    <x v="26"/>
    <x v="8"/>
  </r>
  <r>
    <x v="6"/>
    <x v="1"/>
    <x v="100"/>
    <x v="96"/>
    <x v="49"/>
    <x v="2"/>
    <x v="34"/>
    <x v="14"/>
    <x v="4"/>
    <x v="24"/>
    <x v="28"/>
  </r>
  <r>
    <x v="6"/>
    <x v="1"/>
    <x v="124"/>
    <x v="84"/>
    <x v="36"/>
    <x v="2"/>
    <x v="17"/>
    <x v="5"/>
    <x v="4"/>
    <x v="26"/>
    <x v="15"/>
  </r>
  <r>
    <x v="6"/>
    <x v="1"/>
    <x v="102"/>
    <x v="26"/>
    <x v="41"/>
    <x v="2"/>
    <x v="27"/>
    <x v="16"/>
    <x v="4"/>
    <x v="33"/>
    <x v="23"/>
  </r>
  <r>
    <x v="6"/>
    <x v="1"/>
    <x v="30"/>
    <x v="40"/>
    <x v="6"/>
    <x v="2"/>
    <x v="8"/>
    <x v="10"/>
    <x v="4"/>
    <x v="14"/>
    <x v="8"/>
  </r>
  <r>
    <x v="6"/>
    <x v="1"/>
    <x v="58"/>
    <x v="63"/>
    <x v="26"/>
    <x v="3"/>
    <x v="27"/>
    <x v="13"/>
    <x v="4"/>
    <x v="45"/>
    <x v="23"/>
  </r>
  <r>
    <x v="6"/>
    <x v="1"/>
    <x v="44"/>
    <x v="22"/>
    <x v="46"/>
    <x v="2"/>
    <x v="8"/>
    <x v="7"/>
    <x v="4"/>
    <x v="45"/>
    <x v="8"/>
  </r>
  <r>
    <x v="6"/>
    <x v="1"/>
    <x v="108"/>
    <x v="35"/>
    <x v="17"/>
    <x v="2"/>
    <x v="3"/>
    <x v="3"/>
    <x v="4"/>
    <x v="33"/>
    <x v="3"/>
  </r>
  <r>
    <x v="6"/>
    <x v="1"/>
    <x v="93"/>
    <x v="129"/>
    <x v="3"/>
    <x v="3"/>
    <x v="3"/>
    <x v="7"/>
    <x v="4"/>
    <x v="45"/>
    <x v="3"/>
  </r>
  <r>
    <x v="7"/>
    <x v="1"/>
    <x v="122"/>
    <x v="129"/>
    <x v="51"/>
    <x v="6"/>
    <x v="8"/>
    <x v="5"/>
    <x v="0"/>
    <x v="33"/>
    <x v="8"/>
  </r>
  <r>
    <x v="7"/>
    <x v="1"/>
    <x v="102"/>
    <x v="106"/>
    <x v="25"/>
    <x v="3"/>
    <x v="9"/>
    <x v="5"/>
    <x v="3"/>
    <x v="33"/>
    <x v="9"/>
  </r>
  <r>
    <x v="7"/>
    <x v="1"/>
    <x v="106"/>
    <x v="59"/>
    <x v="13"/>
    <x v="3"/>
    <x v="8"/>
    <x v="5"/>
    <x v="3"/>
    <x v="33"/>
    <x v="8"/>
  </r>
  <r>
    <x v="7"/>
    <x v="1"/>
    <x v="40"/>
    <x v="99"/>
    <x v="42"/>
    <x v="3"/>
    <x v="136"/>
    <x v="24"/>
    <x v="0"/>
    <x v="39"/>
    <x v="114"/>
  </r>
  <r>
    <x v="7"/>
    <x v="1"/>
    <x v="95"/>
    <x v="129"/>
    <x v="51"/>
    <x v="6"/>
    <x v="39"/>
    <x v="16"/>
    <x v="0"/>
    <x v="45"/>
    <x v="32"/>
  </r>
  <r>
    <x v="7"/>
    <x v="1"/>
    <x v="48"/>
    <x v="129"/>
    <x v="51"/>
    <x v="6"/>
    <x v="73"/>
    <x v="19"/>
    <x v="0"/>
    <x v="45"/>
    <x v="59"/>
  </r>
  <r>
    <x v="7"/>
    <x v="1"/>
    <x v="139"/>
    <x v="129"/>
    <x v="51"/>
    <x v="6"/>
    <x v="9"/>
    <x v="8"/>
    <x v="3"/>
    <x v="45"/>
    <x v="9"/>
  </r>
  <r>
    <x v="7"/>
    <x v="1"/>
    <x v="96"/>
    <x v="129"/>
    <x v="51"/>
    <x v="6"/>
    <x v="10"/>
    <x v="7"/>
    <x v="3"/>
    <x v="2"/>
    <x v="10"/>
  </r>
  <r>
    <x v="7"/>
    <x v="1"/>
    <x v="57"/>
    <x v="44"/>
    <x v="5"/>
    <x v="2"/>
    <x v="41"/>
    <x v="14"/>
    <x v="0"/>
    <x v="26"/>
    <x v="34"/>
  </r>
  <r>
    <x v="7"/>
    <x v="1"/>
    <x v="71"/>
    <x v="125"/>
    <x v="37"/>
    <x v="5"/>
    <x v="4"/>
    <x v="10"/>
    <x v="2"/>
    <x v="33"/>
    <x v="4"/>
  </r>
  <r>
    <x v="7"/>
    <x v="1"/>
    <x v="108"/>
    <x v="129"/>
    <x v="51"/>
    <x v="6"/>
    <x v="12"/>
    <x v="10"/>
    <x v="0"/>
    <x v="33"/>
    <x v="11"/>
  </r>
  <r>
    <x v="7"/>
    <x v="1"/>
    <x v="95"/>
    <x v="129"/>
    <x v="51"/>
    <x v="6"/>
    <x v="8"/>
    <x v="10"/>
    <x v="3"/>
    <x v="45"/>
    <x v="8"/>
  </r>
  <r>
    <x v="7"/>
    <x v="1"/>
    <x v="44"/>
    <x v="89"/>
    <x v="38"/>
    <x v="3"/>
    <x v="8"/>
    <x v="10"/>
    <x v="0"/>
    <x v="45"/>
    <x v="8"/>
  </r>
  <r>
    <x v="7"/>
    <x v="1"/>
    <x v="86"/>
    <x v="129"/>
    <x v="51"/>
    <x v="6"/>
    <x v="12"/>
    <x v="6"/>
    <x v="3"/>
    <x v="38"/>
    <x v="11"/>
  </r>
  <r>
    <x v="7"/>
    <x v="1"/>
    <x v="96"/>
    <x v="129"/>
    <x v="51"/>
    <x v="6"/>
    <x v="4"/>
    <x v="5"/>
    <x v="2"/>
    <x v="2"/>
    <x v="4"/>
  </r>
  <r>
    <x v="7"/>
    <x v="1"/>
    <x v="96"/>
    <x v="129"/>
    <x v="51"/>
    <x v="6"/>
    <x v="4"/>
    <x v="5"/>
    <x v="2"/>
    <x v="2"/>
    <x v="4"/>
  </r>
  <r>
    <x v="7"/>
    <x v="1"/>
    <x v="30"/>
    <x v="40"/>
    <x v="6"/>
    <x v="2"/>
    <x v="4"/>
    <x v="3"/>
    <x v="0"/>
    <x v="14"/>
    <x v="4"/>
  </r>
  <r>
    <x v="7"/>
    <x v="1"/>
    <x v="14"/>
    <x v="129"/>
    <x v="42"/>
    <x v="3"/>
    <x v="4"/>
    <x v="5"/>
    <x v="0"/>
    <x v="45"/>
    <x v="4"/>
  </r>
  <r>
    <x v="7"/>
    <x v="1"/>
    <x v="47"/>
    <x v="129"/>
    <x v="51"/>
    <x v="6"/>
    <x v="8"/>
    <x v="5"/>
    <x v="3"/>
    <x v="45"/>
    <x v="8"/>
  </r>
  <r>
    <x v="7"/>
    <x v="1"/>
    <x v="58"/>
    <x v="129"/>
    <x v="51"/>
    <x v="6"/>
    <x v="8"/>
    <x v="8"/>
    <x v="2"/>
    <x v="45"/>
    <x v="8"/>
  </r>
  <r>
    <x v="7"/>
    <x v="1"/>
    <x v="129"/>
    <x v="51"/>
    <x v="19"/>
    <x v="6"/>
    <x v="12"/>
    <x v="10"/>
    <x v="0"/>
    <x v="33"/>
    <x v="11"/>
  </r>
  <r>
    <x v="7"/>
    <x v="1"/>
    <x v="95"/>
    <x v="129"/>
    <x v="51"/>
    <x v="6"/>
    <x v="35"/>
    <x v="1"/>
    <x v="0"/>
    <x v="45"/>
    <x v="29"/>
  </r>
  <r>
    <x v="7"/>
    <x v="1"/>
    <x v="1"/>
    <x v="37"/>
    <x v="26"/>
    <x v="3"/>
    <x v="18"/>
    <x v="13"/>
    <x v="3"/>
    <x v="45"/>
    <x v="16"/>
  </r>
  <r>
    <x v="7"/>
    <x v="1"/>
    <x v="86"/>
    <x v="129"/>
    <x v="51"/>
    <x v="6"/>
    <x v="18"/>
    <x v="12"/>
    <x v="3"/>
    <x v="38"/>
    <x v="16"/>
  </r>
  <r>
    <x v="7"/>
    <x v="1"/>
    <x v="57"/>
    <x v="44"/>
    <x v="5"/>
    <x v="2"/>
    <x v="30"/>
    <x v="14"/>
    <x v="0"/>
    <x v="26"/>
    <x v="25"/>
  </r>
  <r>
    <x v="7"/>
    <x v="1"/>
    <x v="20"/>
    <x v="8"/>
    <x v="2"/>
    <x v="2"/>
    <x v="31"/>
    <x v="16"/>
    <x v="0"/>
    <x v="33"/>
    <x v="26"/>
  </r>
  <r>
    <x v="7"/>
    <x v="1"/>
    <x v="86"/>
    <x v="129"/>
    <x v="51"/>
    <x v="6"/>
    <x v="12"/>
    <x v="10"/>
    <x v="0"/>
    <x v="38"/>
    <x v="11"/>
  </r>
  <r>
    <x v="7"/>
    <x v="1"/>
    <x v="71"/>
    <x v="125"/>
    <x v="37"/>
    <x v="5"/>
    <x v="10"/>
    <x v="8"/>
    <x v="3"/>
    <x v="33"/>
    <x v="10"/>
  </r>
  <r>
    <x v="7"/>
    <x v="1"/>
    <x v="44"/>
    <x v="129"/>
    <x v="51"/>
    <x v="6"/>
    <x v="8"/>
    <x v="6"/>
    <x v="0"/>
    <x v="45"/>
    <x v="8"/>
  </r>
  <r>
    <x v="7"/>
    <x v="1"/>
    <x v="135"/>
    <x v="118"/>
    <x v="37"/>
    <x v="3"/>
    <x v="12"/>
    <x v="12"/>
    <x v="3"/>
    <x v="45"/>
    <x v="11"/>
  </r>
  <r>
    <x v="7"/>
    <x v="1"/>
    <x v="57"/>
    <x v="44"/>
    <x v="5"/>
    <x v="2"/>
    <x v="52"/>
    <x v="18"/>
    <x v="0"/>
    <x v="26"/>
    <x v="43"/>
  </r>
  <r>
    <x v="7"/>
    <x v="1"/>
    <x v="45"/>
    <x v="129"/>
    <x v="51"/>
    <x v="6"/>
    <x v="46"/>
    <x v="18"/>
    <x v="0"/>
    <x v="33"/>
    <x v="38"/>
  </r>
  <r>
    <x v="7"/>
    <x v="1"/>
    <x v="124"/>
    <x v="84"/>
    <x v="36"/>
    <x v="2"/>
    <x v="12"/>
    <x v="12"/>
    <x v="0"/>
    <x v="26"/>
    <x v="11"/>
  </r>
  <r>
    <x v="7"/>
    <x v="1"/>
    <x v="124"/>
    <x v="84"/>
    <x v="36"/>
    <x v="2"/>
    <x v="12"/>
    <x v="12"/>
    <x v="0"/>
    <x v="26"/>
    <x v="11"/>
  </r>
  <r>
    <x v="7"/>
    <x v="1"/>
    <x v="19"/>
    <x v="6"/>
    <x v="22"/>
    <x v="3"/>
    <x v="56"/>
    <x v="20"/>
    <x v="0"/>
    <x v="2"/>
    <x v="46"/>
  </r>
  <r>
    <x v="7"/>
    <x v="1"/>
    <x v="95"/>
    <x v="129"/>
    <x v="51"/>
    <x v="6"/>
    <x v="12"/>
    <x v="8"/>
    <x v="0"/>
    <x v="45"/>
    <x v="11"/>
  </r>
  <r>
    <x v="7"/>
    <x v="1"/>
    <x v="25"/>
    <x v="129"/>
    <x v="51"/>
    <x v="6"/>
    <x v="61"/>
    <x v="20"/>
    <x v="0"/>
    <x v="38"/>
    <x v="51"/>
  </r>
  <r>
    <x v="7"/>
    <x v="1"/>
    <x v="71"/>
    <x v="129"/>
    <x v="3"/>
    <x v="6"/>
    <x v="18"/>
    <x v="12"/>
    <x v="0"/>
    <x v="33"/>
    <x v="16"/>
  </r>
  <r>
    <x v="7"/>
    <x v="1"/>
    <x v="19"/>
    <x v="6"/>
    <x v="22"/>
    <x v="3"/>
    <x v="9"/>
    <x v="16"/>
    <x v="0"/>
    <x v="2"/>
    <x v="9"/>
  </r>
  <r>
    <x v="7"/>
    <x v="1"/>
    <x v="108"/>
    <x v="129"/>
    <x v="51"/>
    <x v="6"/>
    <x v="17"/>
    <x v="13"/>
    <x v="0"/>
    <x v="33"/>
    <x v="15"/>
  </r>
  <r>
    <x v="8"/>
    <x v="1"/>
    <x v="104"/>
    <x v="48"/>
    <x v="5"/>
    <x v="3"/>
    <x v="89"/>
    <x v="24"/>
    <x v="0"/>
    <x v="26"/>
    <x v="73"/>
  </r>
  <r>
    <x v="8"/>
    <x v="1"/>
    <x v="95"/>
    <x v="129"/>
    <x v="51"/>
    <x v="6"/>
    <x v="20"/>
    <x v="14"/>
    <x v="3"/>
    <x v="45"/>
    <x v="17"/>
  </r>
  <r>
    <x v="8"/>
    <x v="1"/>
    <x v="48"/>
    <x v="129"/>
    <x v="51"/>
    <x v="6"/>
    <x v="24"/>
    <x v="16"/>
    <x v="0"/>
    <x v="45"/>
    <x v="20"/>
  </r>
  <r>
    <x v="8"/>
    <x v="1"/>
    <x v="103"/>
    <x v="129"/>
    <x v="51"/>
    <x v="6"/>
    <x v="51"/>
    <x v="20"/>
    <x v="0"/>
    <x v="33"/>
    <x v="42"/>
  </r>
  <r>
    <x v="8"/>
    <x v="1"/>
    <x v="104"/>
    <x v="48"/>
    <x v="5"/>
    <x v="3"/>
    <x v="122"/>
    <x v="6"/>
    <x v="0"/>
    <x v="26"/>
    <x v="102"/>
  </r>
  <r>
    <x v="8"/>
    <x v="1"/>
    <x v="108"/>
    <x v="129"/>
    <x v="1"/>
    <x v="3"/>
    <x v="10"/>
    <x v="5"/>
    <x v="0"/>
    <x v="33"/>
    <x v="10"/>
  </r>
  <r>
    <x v="8"/>
    <x v="1"/>
    <x v="19"/>
    <x v="6"/>
    <x v="22"/>
    <x v="3"/>
    <x v="10"/>
    <x v="13"/>
    <x v="0"/>
    <x v="2"/>
    <x v="10"/>
  </r>
  <r>
    <x v="8"/>
    <x v="1"/>
    <x v="95"/>
    <x v="129"/>
    <x v="51"/>
    <x v="6"/>
    <x v="8"/>
    <x v="10"/>
    <x v="0"/>
    <x v="45"/>
    <x v="8"/>
  </r>
  <r>
    <x v="8"/>
    <x v="1"/>
    <x v="40"/>
    <x v="35"/>
    <x v="17"/>
    <x v="2"/>
    <x v="14"/>
    <x v="16"/>
    <x v="0"/>
    <x v="39"/>
    <x v="13"/>
  </r>
  <r>
    <x v="8"/>
    <x v="1"/>
    <x v="136"/>
    <x v="118"/>
    <x v="37"/>
    <x v="3"/>
    <x v="27"/>
    <x v="16"/>
    <x v="0"/>
    <x v="45"/>
    <x v="23"/>
  </r>
  <r>
    <x v="8"/>
    <x v="1"/>
    <x v="40"/>
    <x v="35"/>
    <x v="17"/>
    <x v="2"/>
    <x v="25"/>
    <x v="12"/>
    <x v="0"/>
    <x v="39"/>
    <x v="21"/>
  </r>
  <r>
    <x v="8"/>
    <x v="1"/>
    <x v="137"/>
    <x v="13"/>
    <x v="29"/>
    <x v="5"/>
    <x v="10"/>
    <x v="12"/>
    <x v="0"/>
    <x v="33"/>
    <x v="10"/>
  </r>
  <r>
    <x v="8"/>
    <x v="1"/>
    <x v="137"/>
    <x v="13"/>
    <x v="29"/>
    <x v="5"/>
    <x v="26"/>
    <x v="16"/>
    <x v="0"/>
    <x v="33"/>
    <x v="22"/>
  </r>
  <r>
    <x v="8"/>
    <x v="1"/>
    <x v="93"/>
    <x v="74"/>
    <x v="32"/>
    <x v="3"/>
    <x v="14"/>
    <x v="14"/>
    <x v="0"/>
    <x v="45"/>
    <x v="13"/>
  </r>
  <r>
    <x v="8"/>
    <x v="1"/>
    <x v="71"/>
    <x v="2"/>
    <x v="31"/>
    <x v="2"/>
    <x v="13"/>
    <x v="10"/>
    <x v="0"/>
    <x v="33"/>
    <x v="12"/>
  </r>
  <r>
    <x v="8"/>
    <x v="1"/>
    <x v="40"/>
    <x v="35"/>
    <x v="17"/>
    <x v="2"/>
    <x v="14"/>
    <x v="13"/>
    <x v="0"/>
    <x v="39"/>
    <x v="13"/>
  </r>
  <r>
    <x v="8"/>
    <x v="1"/>
    <x v="124"/>
    <x v="84"/>
    <x v="36"/>
    <x v="2"/>
    <x v="39"/>
    <x v="14"/>
    <x v="0"/>
    <x v="26"/>
    <x v="32"/>
  </r>
  <r>
    <x v="8"/>
    <x v="1"/>
    <x v="44"/>
    <x v="129"/>
    <x v="51"/>
    <x v="6"/>
    <x v="33"/>
    <x v="19"/>
    <x v="0"/>
    <x v="45"/>
    <x v="27"/>
  </r>
  <r>
    <x v="8"/>
    <x v="1"/>
    <x v="59"/>
    <x v="48"/>
    <x v="5"/>
    <x v="3"/>
    <x v="75"/>
    <x v="20"/>
    <x v="0"/>
    <x v="33"/>
    <x v="61"/>
  </r>
  <r>
    <x v="8"/>
    <x v="1"/>
    <x v="86"/>
    <x v="129"/>
    <x v="51"/>
    <x v="6"/>
    <x v="21"/>
    <x v="16"/>
    <x v="0"/>
    <x v="38"/>
    <x v="18"/>
  </r>
  <r>
    <x v="8"/>
    <x v="1"/>
    <x v="71"/>
    <x v="129"/>
    <x v="51"/>
    <x v="6"/>
    <x v="27"/>
    <x v="16"/>
    <x v="0"/>
    <x v="33"/>
    <x v="23"/>
  </r>
  <r>
    <x v="8"/>
    <x v="1"/>
    <x v="19"/>
    <x v="6"/>
    <x v="22"/>
    <x v="3"/>
    <x v="12"/>
    <x v="16"/>
    <x v="0"/>
    <x v="2"/>
    <x v="11"/>
  </r>
  <r>
    <x v="8"/>
    <x v="1"/>
    <x v="86"/>
    <x v="129"/>
    <x v="51"/>
    <x v="6"/>
    <x v="16"/>
    <x v="8"/>
    <x v="2"/>
    <x v="38"/>
    <x v="14"/>
  </r>
  <r>
    <x v="8"/>
    <x v="1"/>
    <x v="59"/>
    <x v="48"/>
    <x v="5"/>
    <x v="3"/>
    <x v="64"/>
    <x v="14"/>
    <x v="0"/>
    <x v="26"/>
    <x v="53"/>
  </r>
  <r>
    <x v="9"/>
    <x v="6"/>
    <x v="24"/>
    <x v="26"/>
    <x v="41"/>
    <x v="2"/>
    <x v="8"/>
    <x v="5"/>
    <x v="5"/>
    <x v="33"/>
    <x v="8"/>
  </r>
  <r>
    <x v="9"/>
    <x v="6"/>
    <x v="86"/>
    <x v="128"/>
    <x v="43"/>
    <x v="2"/>
    <x v="4"/>
    <x v="4"/>
    <x v="0"/>
    <x v="38"/>
    <x v="4"/>
  </r>
  <r>
    <x v="9"/>
    <x v="6"/>
    <x v="96"/>
    <x v="129"/>
    <x v="51"/>
    <x v="6"/>
    <x v="63"/>
    <x v="20"/>
    <x v="0"/>
    <x v="2"/>
    <x v="52"/>
  </r>
  <r>
    <x v="9"/>
    <x v="6"/>
    <x v="50"/>
    <x v="129"/>
    <x v="51"/>
    <x v="6"/>
    <x v="46"/>
    <x v="2"/>
    <x v="2"/>
    <x v="21"/>
    <x v="38"/>
  </r>
  <r>
    <x v="9"/>
    <x v="6"/>
    <x v="71"/>
    <x v="80"/>
    <x v="35"/>
    <x v="3"/>
    <x v="8"/>
    <x v="5"/>
    <x v="3"/>
    <x v="33"/>
    <x v="8"/>
  </r>
  <r>
    <x v="9"/>
    <x v="6"/>
    <x v="95"/>
    <x v="129"/>
    <x v="51"/>
    <x v="6"/>
    <x v="24"/>
    <x v="10"/>
    <x v="0"/>
    <x v="45"/>
    <x v="20"/>
  </r>
  <r>
    <x v="9"/>
    <x v="6"/>
    <x v="122"/>
    <x v="57"/>
    <x v="42"/>
    <x v="2"/>
    <x v="8"/>
    <x v="5"/>
    <x v="3"/>
    <x v="33"/>
    <x v="8"/>
  </r>
  <r>
    <x v="9"/>
    <x v="6"/>
    <x v="48"/>
    <x v="24"/>
    <x v="14"/>
    <x v="2"/>
    <x v="95"/>
    <x v="21"/>
    <x v="0"/>
    <x v="45"/>
    <x v="77"/>
  </r>
  <r>
    <x v="9"/>
    <x v="6"/>
    <x v="129"/>
    <x v="129"/>
    <x v="51"/>
    <x v="6"/>
    <x v="14"/>
    <x v="12"/>
    <x v="0"/>
    <x v="33"/>
    <x v="13"/>
  </r>
  <r>
    <x v="9"/>
    <x v="6"/>
    <x v="129"/>
    <x v="129"/>
    <x v="51"/>
    <x v="6"/>
    <x v="18"/>
    <x v="14"/>
    <x v="0"/>
    <x v="33"/>
    <x v="16"/>
  </r>
  <r>
    <x v="9"/>
    <x v="6"/>
    <x v="61"/>
    <x v="123"/>
    <x v="15"/>
    <x v="3"/>
    <x v="139"/>
    <x v="24"/>
    <x v="3"/>
    <x v="33"/>
    <x v="117"/>
  </r>
  <r>
    <x v="9"/>
    <x v="6"/>
    <x v="125"/>
    <x v="64"/>
    <x v="7"/>
    <x v="3"/>
    <x v="8"/>
    <x v="5"/>
    <x v="0"/>
    <x v="2"/>
    <x v="8"/>
  </r>
  <r>
    <x v="9"/>
    <x v="6"/>
    <x v="30"/>
    <x v="40"/>
    <x v="6"/>
    <x v="2"/>
    <x v="8"/>
    <x v="8"/>
    <x v="0"/>
    <x v="14"/>
    <x v="8"/>
  </r>
  <r>
    <x v="9"/>
    <x v="6"/>
    <x v="26"/>
    <x v="46"/>
    <x v="5"/>
    <x v="2"/>
    <x v="4"/>
    <x v="5"/>
    <x v="0"/>
    <x v="45"/>
    <x v="4"/>
  </r>
  <r>
    <x v="9"/>
    <x v="6"/>
    <x v="58"/>
    <x v="68"/>
    <x v="20"/>
    <x v="3"/>
    <x v="17"/>
    <x v="12"/>
    <x v="0"/>
    <x v="45"/>
    <x v="15"/>
  </r>
  <r>
    <x v="9"/>
    <x v="6"/>
    <x v="48"/>
    <x v="28"/>
    <x v="24"/>
    <x v="3"/>
    <x v="44"/>
    <x v="18"/>
    <x v="0"/>
    <x v="45"/>
    <x v="36"/>
  </r>
  <r>
    <x v="9"/>
    <x v="6"/>
    <x v="57"/>
    <x v="44"/>
    <x v="5"/>
    <x v="2"/>
    <x v="22"/>
    <x v="8"/>
    <x v="0"/>
    <x v="26"/>
    <x v="19"/>
  </r>
  <r>
    <x v="9"/>
    <x v="6"/>
    <x v="71"/>
    <x v="76"/>
    <x v="27"/>
    <x v="3"/>
    <x v="18"/>
    <x v="10"/>
    <x v="0"/>
    <x v="33"/>
    <x v="16"/>
  </r>
  <r>
    <x v="9"/>
    <x v="6"/>
    <x v="116"/>
    <x v="129"/>
    <x v="51"/>
    <x v="6"/>
    <x v="20"/>
    <x v="14"/>
    <x v="0"/>
    <x v="45"/>
    <x v="17"/>
  </r>
  <r>
    <x v="9"/>
    <x v="6"/>
    <x v="57"/>
    <x v="44"/>
    <x v="5"/>
    <x v="2"/>
    <x v="25"/>
    <x v="10"/>
    <x v="0"/>
    <x v="26"/>
    <x v="21"/>
  </r>
  <r>
    <x v="9"/>
    <x v="6"/>
    <x v="57"/>
    <x v="44"/>
    <x v="5"/>
    <x v="2"/>
    <x v="20"/>
    <x v="6"/>
    <x v="0"/>
    <x v="26"/>
    <x v="17"/>
  </r>
  <r>
    <x v="9"/>
    <x v="6"/>
    <x v="20"/>
    <x v="8"/>
    <x v="2"/>
    <x v="2"/>
    <x v="18"/>
    <x v="12"/>
    <x v="0"/>
    <x v="33"/>
    <x v="16"/>
  </r>
  <r>
    <x v="9"/>
    <x v="6"/>
    <x v="86"/>
    <x v="129"/>
    <x v="51"/>
    <x v="6"/>
    <x v="37"/>
    <x v="16"/>
    <x v="0"/>
    <x v="38"/>
    <x v="30"/>
  </r>
  <r>
    <x v="9"/>
    <x v="6"/>
    <x v="40"/>
    <x v="36"/>
    <x v="17"/>
    <x v="3"/>
    <x v="27"/>
    <x v="15"/>
    <x v="0"/>
    <x v="39"/>
    <x v="23"/>
  </r>
  <r>
    <x v="9"/>
    <x v="6"/>
    <x v="40"/>
    <x v="36"/>
    <x v="17"/>
    <x v="3"/>
    <x v="18"/>
    <x v="14"/>
    <x v="0"/>
    <x v="39"/>
    <x v="16"/>
  </r>
  <r>
    <x v="9"/>
    <x v="6"/>
    <x v="57"/>
    <x v="44"/>
    <x v="5"/>
    <x v="2"/>
    <x v="39"/>
    <x v="10"/>
    <x v="0"/>
    <x v="26"/>
    <x v="32"/>
  </r>
  <r>
    <x v="9"/>
    <x v="6"/>
    <x v="24"/>
    <x v="76"/>
    <x v="27"/>
    <x v="3"/>
    <x v="22"/>
    <x v="13"/>
    <x v="0"/>
    <x v="33"/>
    <x v="19"/>
  </r>
  <r>
    <x v="9"/>
    <x v="6"/>
    <x v="71"/>
    <x v="39"/>
    <x v="45"/>
    <x v="3"/>
    <x v="21"/>
    <x v="8"/>
    <x v="0"/>
    <x v="33"/>
    <x v="18"/>
  </r>
  <r>
    <x v="9"/>
    <x v="6"/>
    <x v="45"/>
    <x v="129"/>
    <x v="51"/>
    <x v="6"/>
    <x v="116"/>
    <x v="23"/>
    <x v="0"/>
    <x v="33"/>
    <x v="97"/>
  </r>
  <r>
    <x v="10"/>
    <x v="6"/>
    <x v="140"/>
    <x v="99"/>
    <x v="42"/>
    <x v="3"/>
    <x v="8"/>
    <x v="3"/>
    <x v="0"/>
    <x v="3"/>
    <x v="8"/>
  </r>
  <r>
    <x v="10"/>
    <x v="6"/>
    <x v="102"/>
    <x v="26"/>
    <x v="41"/>
    <x v="2"/>
    <x v="10"/>
    <x v="10"/>
    <x v="0"/>
    <x v="33"/>
    <x v="10"/>
  </r>
  <r>
    <x v="10"/>
    <x v="6"/>
    <x v="95"/>
    <x v="129"/>
    <x v="51"/>
    <x v="6"/>
    <x v="9"/>
    <x v="10"/>
    <x v="1"/>
    <x v="45"/>
    <x v="9"/>
  </r>
  <r>
    <x v="10"/>
    <x v="6"/>
    <x v="40"/>
    <x v="129"/>
    <x v="51"/>
    <x v="6"/>
    <x v="8"/>
    <x v="10"/>
    <x v="0"/>
    <x v="39"/>
    <x v="8"/>
  </r>
  <r>
    <x v="10"/>
    <x v="6"/>
    <x v="30"/>
    <x v="40"/>
    <x v="6"/>
    <x v="2"/>
    <x v="4"/>
    <x v="9"/>
    <x v="0"/>
    <x v="14"/>
    <x v="4"/>
  </r>
  <r>
    <x v="10"/>
    <x v="6"/>
    <x v="71"/>
    <x v="76"/>
    <x v="27"/>
    <x v="3"/>
    <x v="4"/>
    <x v="5"/>
    <x v="0"/>
    <x v="33"/>
    <x v="4"/>
  </r>
  <r>
    <x v="10"/>
    <x v="6"/>
    <x v="122"/>
    <x v="129"/>
    <x v="51"/>
    <x v="6"/>
    <x v="4"/>
    <x v="9"/>
    <x v="0"/>
    <x v="33"/>
    <x v="4"/>
  </r>
  <r>
    <x v="10"/>
    <x v="6"/>
    <x v="54"/>
    <x v="58"/>
    <x v="13"/>
    <x v="2"/>
    <x v="27"/>
    <x v="13"/>
    <x v="2"/>
    <x v="45"/>
    <x v="23"/>
  </r>
  <r>
    <x v="10"/>
    <x v="6"/>
    <x v="30"/>
    <x v="40"/>
    <x v="6"/>
    <x v="2"/>
    <x v="4"/>
    <x v="8"/>
    <x v="0"/>
    <x v="14"/>
    <x v="4"/>
  </r>
  <r>
    <x v="10"/>
    <x v="6"/>
    <x v="103"/>
    <x v="129"/>
    <x v="51"/>
    <x v="6"/>
    <x v="4"/>
    <x v="5"/>
    <x v="0"/>
    <x v="33"/>
    <x v="4"/>
  </r>
  <r>
    <x v="10"/>
    <x v="6"/>
    <x v="40"/>
    <x v="59"/>
    <x v="13"/>
    <x v="3"/>
    <x v="4"/>
    <x v="13"/>
    <x v="3"/>
    <x v="39"/>
    <x v="4"/>
  </r>
  <r>
    <x v="10"/>
    <x v="6"/>
    <x v="95"/>
    <x v="129"/>
    <x v="51"/>
    <x v="6"/>
    <x v="4"/>
    <x v="5"/>
    <x v="5"/>
    <x v="45"/>
    <x v="4"/>
  </r>
  <r>
    <x v="10"/>
    <x v="6"/>
    <x v="57"/>
    <x v="44"/>
    <x v="5"/>
    <x v="2"/>
    <x v="37"/>
    <x v="12"/>
    <x v="0"/>
    <x v="26"/>
    <x v="30"/>
  </r>
  <r>
    <x v="10"/>
    <x v="6"/>
    <x v="44"/>
    <x v="129"/>
    <x v="3"/>
    <x v="3"/>
    <x v="9"/>
    <x v="10"/>
    <x v="5"/>
    <x v="45"/>
    <x v="9"/>
  </r>
  <r>
    <x v="10"/>
    <x v="6"/>
    <x v="20"/>
    <x v="8"/>
    <x v="2"/>
    <x v="2"/>
    <x v="49"/>
    <x v="12"/>
    <x v="0"/>
    <x v="33"/>
    <x v="24"/>
  </r>
  <r>
    <x v="10"/>
    <x v="6"/>
    <x v="27"/>
    <x v="129"/>
    <x v="51"/>
    <x v="6"/>
    <x v="95"/>
    <x v="20"/>
    <x v="0"/>
    <x v="33"/>
    <x v="77"/>
  </r>
  <r>
    <x v="10"/>
    <x v="6"/>
    <x v="47"/>
    <x v="129"/>
    <x v="51"/>
    <x v="6"/>
    <x v="8"/>
    <x v="10"/>
    <x v="0"/>
    <x v="45"/>
    <x v="8"/>
  </r>
  <r>
    <x v="10"/>
    <x v="6"/>
    <x v="27"/>
    <x v="129"/>
    <x v="51"/>
    <x v="6"/>
    <x v="29"/>
    <x v="12"/>
    <x v="0"/>
    <x v="33"/>
    <x v="24"/>
  </r>
  <r>
    <x v="10"/>
    <x v="6"/>
    <x v="40"/>
    <x v="129"/>
    <x v="51"/>
    <x v="6"/>
    <x v="16"/>
    <x v="12"/>
    <x v="0"/>
    <x v="39"/>
    <x v="14"/>
  </r>
  <r>
    <x v="10"/>
    <x v="6"/>
    <x v="103"/>
    <x v="129"/>
    <x v="51"/>
    <x v="6"/>
    <x v="14"/>
    <x v="10"/>
    <x v="2"/>
    <x v="33"/>
    <x v="13"/>
  </r>
  <r>
    <x v="10"/>
    <x v="6"/>
    <x v="140"/>
    <x v="99"/>
    <x v="42"/>
    <x v="3"/>
    <x v="4"/>
    <x v="3"/>
    <x v="3"/>
    <x v="3"/>
    <x v="4"/>
  </r>
  <r>
    <x v="10"/>
    <x v="6"/>
    <x v="40"/>
    <x v="129"/>
    <x v="51"/>
    <x v="6"/>
    <x v="29"/>
    <x v="13"/>
    <x v="0"/>
    <x v="39"/>
    <x v="24"/>
  </r>
  <r>
    <x v="10"/>
    <x v="6"/>
    <x v="50"/>
    <x v="129"/>
    <x v="51"/>
    <x v="6"/>
    <x v="14"/>
    <x v="10"/>
    <x v="0"/>
    <x v="21"/>
    <x v="13"/>
  </r>
  <r>
    <x v="10"/>
    <x v="6"/>
    <x v="40"/>
    <x v="129"/>
    <x v="51"/>
    <x v="6"/>
    <x v="8"/>
    <x v="10"/>
    <x v="0"/>
    <x v="39"/>
    <x v="8"/>
  </r>
  <r>
    <x v="10"/>
    <x v="6"/>
    <x v="40"/>
    <x v="129"/>
    <x v="51"/>
    <x v="6"/>
    <x v="9"/>
    <x v="10"/>
    <x v="0"/>
    <x v="39"/>
    <x v="9"/>
  </r>
  <r>
    <x v="10"/>
    <x v="6"/>
    <x v="24"/>
    <x v="26"/>
    <x v="41"/>
    <x v="2"/>
    <x v="10"/>
    <x v="10"/>
    <x v="0"/>
    <x v="33"/>
    <x v="10"/>
  </r>
  <r>
    <x v="10"/>
    <x v="6"/>
    <x v="103"/>
    <x v="129"/>
    <x v="51"/>
    <x v="6"/>
    <x v="17"/>
    <x v="13"/>
    <x v="3"/>
    <x v="33"/>
    <x v="15"/>
  </r>
  <r>
    <x v="10"/>
    <x v="6"/>
    <x v="48"/>
    <x v="129"/>
    <x v="51"/>
    <x v="6"/>
    <x v="14"/>
    <x v="13"/>
    <x v="0"/>
    <x v="45"/>
    <x v="13"/>
  </r>
  <r>
    <x v="10"/>
    <x v="6"/>
    <x v="44"/>
    <x v="129"/>
    <x v="3"/>
    <x v="3"/>
    <x v="22"/>
    <x v="13"/>
    <x v="0"/>
    <x v="45"/>
    <x v="19"/>
  </r>
  <r>
    <x v="10"/>
    <x v="6"/>
    <x v="119"/>
    <x v="129"/>
    <x v="51"/>
    <x v="6"/>
    <x v="33"/>
    <x v="12"/>
    <x v="3"/>
    <x v="38"/>
    <x v="13"/>
  </r>
  <r>
    <x v="10"/>
    <x v="6"/>
    <x v="95"/>
    <x v="129"/>
    <x v="51"/>
    <x v="6"/>
    <x v="13"/>
    <x v="12"/>
    <x v="0"/>
    <x v="45"/>
    <x v="12"/>
  </r>
  <r>
    <x v="10"/>
    <x v="6"/>
    <x v="54"/>
    <x v="59"/>
    <x v="13"/>
    <x v="3"/>
    <x v="12"/>
    <x v="12"/>
    <x v="0"/>
    <x v="45"/>
    <x v="11"/>
  </r>
  <r>
    <x v="10"/>
    <x v="6"/>
    <x v="40"/>
    <x v="129"/>
    <x v="51"/>
    <x v="6"/>
    <x v="12"/>
    <x v="13"/>
    <x v="0"/>
    <x v="39"/>
    <x v="11"/>
  </r>
  <r>
    <x v="10"/>
    <x v="6"/>
    <x v="86"/>
    <x v="94"/>
    <x v="42"/>
    <x v="2"/>
    <x v="14"/>
    <x v="12"/>
    <x v="0"/>
    <x v="38"/>
    <x v="13"/>
  </r>
  <r>
    <x v="10"/>
    <x v="6"/>
    <x v="119"/>
    <x v="129"/>
    <x v="51"/>
    <x v="6"/>
    <x v="18"/>
    <x v="16"/>
    <x v="0"/>
    <x v="38"/>
    <x v="16"/>
  </r>
  <r>
    <x v="10"/>
    <x v="6"/>
    <x v="24"/>
    <x v="26"/>
    <x v="41"/>
    <x v="2"/>
    <x v="14"/>
    <x v="13"/>
    <x v="0"/>
    <x v="33"/>
    <x v="13"/>
  </r>
  <r>
    <x v="10"/>
    <x v="6"/>
    <x v="48"/>
    <x v="129"/>
    <x v="51"/>
    <x v="6"/>
    <x v="17"/>
    <x v="14"/>
    <x v="0"/>
    <x v="45"/>
    <x v="15"/>
  </r>
  <r>
    <x v="10"/>
    <x v="6"/>
    <x v="40"/>
    <x v="59"/>
    <x v="13"/>
    <x v="3"/>
    <x v="8"/>
    <x v="12"/>
    <x v="0"/>
    <x v="39"/>
    <x v="8"/>
  </r>
  <r>
    <x v="10"/>
    <x v="6"/>
    <x v="0"/>
    <x v="129"/>
    <x v="51"/>
    <x v="6"/>
    <x v="14"/>
    <x v="12"/>
    <x v="3"/>
    <x v="17"/>
    <x v="13"/>
  </r>
  <r>
    <x v="10"/>
    <x v="6"/>
    <x v="28"/>
    <x v="129"/>
    <x v="51"/>
    <x v="6"/>
    <x v="144"/>
    <x v="24"/>
    <x v="0"/>
    <x v="26"/>
    <x v="121"/>
  </r>
  <r>
    <x v="10"/>
    <x v="6"/>
    <x v="104"/>
    <x v="45"/>
    <x v="5"/>
    <x v="4"/>
    <x v="57"/>
    <x v="10"/>
    <x v="0"/>
    <x v="26"/>
    <x v="48"/>
  </r>
  <r>
    <x v="10"/>
    <x v="6"/>
    <x v="30"/>
    <x v="40"/>
    <x v="6"/>
    <x v="2"/>
    <x v="14"/>
    <x v="12"/>
    <x v="0"/>
    <x v="14"/>
    <x v="13"/>
  </r>
  <r>
    <x v="10"/>
    <x v="6"/>
    <x v="113"/>
    <x v="129"/>
    <x v="51"/>
    <x v="6"/>
    <x v="8"/>
    <x v="12"/>
    <x v="0"/>
    <x v="45"/>
    <x v="8"/>
  </r>
  <r>
    <x v="10"/>
    <x v="6"/>
    <x v="58"/>
    <x v="129"/>
    <x v="51"/>
    <x v="6"/>
    <x v="84"/>
    <x v="23"/>
    <x v="0"/>
    <x v="45"/>
    <x v="69"/>
  </r>
  <r>
    <x v="10"/>
    <x v="6"/>
    <x v="54"/>
    <x v="129"/>
    <x v="51"/>
    <x v="6"/>
    <x v="31"/>
    <x v="13"/>
    <x v="2"/>
    <x v="45"/>
    <x v="26"/>
  </r>
  <r>
    <x v="10"/>
    <x v="6"/>
    <x v="71"/>
    <x v="76"/>
    <x v="27"/>
    <x v="3"/>
    <x v="4"/>
    <x v="10"/>
    <x v="0"/>
    <x v="33"/>
    <x v="4"/>
  </r>
  <r>
    <x v="11"/>
    <x v="2"/>
    <x v="57"/>
    <x v="44"/>
    <x v="5"/>
    <x v="2"/>
    <x v="39"/>
    <x v="12"/>
    <x v="0"/>
    <x v="26"/>
    <x v="32"/>
  </r>
  <r>
    <x v="11"/>
    <x v="2"/>
    <x v="114"/>
    <x v="10"/>
    <x v="0"/>
    <x v="2"/>
    <x v="27"/>
    <x v="12"/>
    <x v="0"/>
    <x v="45"/>
    <x v="23"/>
  </r>
  <r>
    <x v="11"/>
    <x v="2"/>
    <x v="14"/>
    <x v="129"/>
    <x v="51"/>
    <x v="6"/>
    <x v="4"/>
    <x v="3"/>
    <x v="3"/>
    <x v="45"/>
    <x v="4"/>
  </r>
  <r>
    <x v="11"/>
    <x v="2"/>
    <x v="119"/>
    <x v="128"/>
    <x v="43"/>
    <x v="2"/>
    <x v="4"/>
    <x v="8"/>
    <x v="3"/>
    <x v="38"/>
    <x v="4"/>
  </r>
  <r>
    <x v="11"/>
    <x v="2"/>
    <x v="19"/>
    <x v="33"/>
    <x v="16"/>
    <x v="2"/>
    <x v="4"/>
    <x v="8"/>
    <x v="3"/>
    <x v="2"/>
    <x v="4"/>
  </r>
  <r>
    <x v="11"/>
    <x v="2"/>
    <x v="30"/>
    <x v="40"/>
    <x v="6"/>
    <x v="2"/>
    <x v="4"/>
    <x v="10"/>
    <x v="0"/>
    <x v="14"/>
    <x v="4"/>
  </r>
  <r>
    <x v="11"/>
    <x v="2"/>
    <x v="124"/>
    <x v="84"/>
    <x v="36"/>
    <x v="2"/>
    <x v="17"/>
    <x v="3"/>
    <x v="0"/>
    <x v="26"/>
    <x v="15"/>
  </r>
  <r>
    <x v="11"/>
    <x v="2"/>
    <x v="124"/>
    <x v="84"/>
    <x v="36"/>
    <x v="2"/>
    <x v="8"/>
    <x v="5"/>
    <x v="0"/>
    <x v="26"/>
    <x v="8"/>
  </r>
  <r>
    <x v="11"/>
    <x v="2"/>
    <x v="24"/>
    <x v="26"/>
    <x v="41"/>
    <x v="6"/>
    <x v="4"/>
    <x v="5"/>
    <x v="2"/>
    <x v="33"/>
    <x v="4"/>
  </r>
  <r>
    <x v="11"/>
    <x v="2"/>
    <x v="19"/>
    <x v="5"/>
    <x v="22"/>
    <x v="2"/>
    <x v="20"/>
    <x v="13"/>
    <x v="3"/>
    <x v="2"/>
    <x v="17"/>
  </r>
  <r>
    <x v="11"/>
    <x v="2"/>
    <x v="104"/>
    <x v="45"/>
    <x v="5"/>
    <x v="4"/>
    <x v="8"/>
    <x v="8"/>
    <x v="0"/>
    <x v="26"/>
    <x v="8"/>
  </r>
  <r>
    <x v="11"/>
    <x v="2"/>
    <x v="61"/>
    <x v="123"/>
    <x v="15"/>
    <x v="3"/>
    <x v="4"/>
    <x v="6"/>
    <x v="0"/>
    <x v="33"/>
    <x v="4"/>
  </r>
  <r>
    <x v="11"/>
    <x v="2"/>
    <x v="20"/>
    <x v="8"/>
    <x v="2"/>
    <x v="2"/>
    <x v="8"/>
    <x v="10"/>
    <x v="0"/>
    <x v="33"/>
    <x v="8"/>
  </r>
  <r>
    <x v="11"/>
    <x v="2"/>
    <x v="30"/>
    <x v="40"/>
    <x v="6"/>
    <x v="2"/>
    <x v="26"/>
    <x v="13"/>
    <x v="0"/>
    <x v="14"/>
    <x v="22"/>
  </r>
  <r>
    <x v="11"/>
    <x v="2"/>
    <x v="57"/>
    <x v="44"/>
    <x v="5"/>
    <x v="2"/>
    <x v="24"/>
    <x v="12"/>
    <x v="0"/>
    <x v="26"/>
    <x v="20"/>
  </r>
  <r>
    <x v="11"/>
    <x v="2"/>
    <x v="57"/>
    <x v="44"/>
    <x v="5"/>
    <x v="2"/>
    <x v="46"/>
    <x v="12"/>
    <x v="0"/>
    <x v="26"/>
    <x v="38"/>
  </r>
  <r>
    <x v="11"/>
    <x v="2"/>
    <x v="19"/>
    <x v="4"/>
    <x v="22"/>
    <x v="2"/>
    <x v="10"/>
    <x v="10"/>
    <x v="0"/>
    <x v="2"/>
    <x v="10"/>
  </r>
  <r>
    <x v="11"/>
    <x v="2"/>
    <x v="47"/>
    <x v="129"/>
    <x v="51"/>
    <x v="6"/>
    <x v="4"/>
    <x v="6"/>
    <x v="2"/>
    <x v="45"/>
    <x v="4"/>
  </r>
  <r>
    <x v="11"/>
    <x v="2"/>
    <x v="40"/>
    <x v="76"/>
    <x v="27"/>
    <x v="3"/>
    <x v="4"/>
    <x v="5"/>
    <x v="0"/>
    <x v="39"/>
    <x v="4"/>
  </r>
  <r>
    <x v="11"/>
    <x v="2"/>
    <x v="131"/>
    <x v="129"/>
    <x v="51"/>
    <x v="6"/>
    <x v="10"/>
    <x v="10"/>
    <x v="0"/>
    <x v="23"/>
    <x v="10"/>
  </r>
  <r>
    <x v="11"/>
    <x v="2"/>
    <x v="0"/>
    <x v="129"/>
    <x v="51"/>
    <x v="6"/>
    <x v="10"/>
    <x v="10"/>
    <x v="0"/>
    <x v="45"/>
    <x v="10"/>
  </r>
  <r>
    <x v="11"/>
    <x v="2"/>
    <x v="47"/>
    <x v="30"/>
    <x v="42"/>
    <x v="3"/>
    <x v="31"/>
    <x v="14"/>
    <x v="0"/>
    <x v="45"/>
    <x v="26"/>
  </r>
  <r>
    <x v="11"/>
    <x v="2"/>
    <x v="30"/>
    <x v="40"/>
    <x v="6"/>
    <x v="2"/>
    <x v="4"/>
    <x v="10"/>
    <x v="0"/>
    <x v="14"/>
    <x v="4"/>
  </r>
  <r>
    <x v="11"/>
    <x v="2"/>
    <x v="131"/>
    <x v="32"/>
    <x v="21"/>
    <x v="3"/>
    <x v="8"/>
    <x v="12"/>
    <x v="0"/>
    <x v="23"/>
    <x v="8"/>
  </r>
  <r>
    <x v="11"/>
    <x v="2"/>
    <x v="57"/>
    <x v="44"/>
    <x v="5"/>
    <x v="2"/>
    <x v="21"/>
    <x v="6"/>
    <x v="0"/>
    <x v="26"/>
    <x v="18"/>
  </r>
  <r>
    <x v="11"/>
    <x v="2"/>
    <x v="1"/>
    <x v="37"/>
    <x v="26"/>
    <x v="3"/>
    <x v="37"/>
    <x v="16"/>
    <x v="0"/>
    <x v="45"/>
    <x v="30"/>
  </r>
  <r>
    <x v="11"/>
    <x v="2"/>
    <x v="14"/>
    <x v="129"/>
    <x v="51"/>
    <x v="6"/>
    <x v="17"/>
    <x v="13"/>
    <x v="0"/>
    <x v="45"/>
    <x v="15"/>
  </r>
  <r>
    <x v="11"/>
    <x v="2"/>
    <x v="19"/>
    <x v="4"/>
    <x v="22"/>
    <x v="2"/>
    <x v="14"/>
    <x v="12"/>
    <x v="0"/>
    <x v="2"/>
    <x v="13"/>
  </r>
  <r>
    <x v="11"/>
    <x v="2"/>
    <x v="14"/>
    <x v="129"/>
    <x v="51"/>
    <x v="6"/>
    <x v="12"/>
    <x v="13"/>
    <x v="3"/>
    <x v="45"/>
    <x v="11"/>
  </r>
  <r>
    <x v="11"/>
    <x v="2"/>
    <x v="108"/>
    <x v="55"/>
    <x v="31"/>
    <x v="3"/>
    <x v="8"/>
    <x v="6"/>
    <x v="0"/>
    <x v="33"/>
    <x v="8"/>
  </r>
  <r>
    <x v="11"/>
    <x v="2"/>
    <x v="40"/>
    <x v="76"/>
    <x v="27"/>
    <x v="3"/>
    <x v="10"/>
    <x v="13"/>
    <x v="2"/>
    <x v="39"/>
    <x v="10"/>
  </r>
  <r>
    <x v="11"/>
    <x v="2"/>
    <x v="20"/>
    <x v="8"/>
    <x v="2"/>
    <x v="2"/>
    <x v="12"/>
    <x v="13"/>
    <x v="3"/>
    <x v="33"/>
    <x v="11"/>
  </r>
  <r>
    <x v="11"/>
    <x v="2"/>
    <x v="30"/>
    <x v="40"/>
    <x v="6"/>
    <x v="2"/>
    <x v="13"/>
    <x v="12"/>
    <x v="0"/>
    <x v="14"/>
    <x v="12"/>
  </r>
  <r>
    <x v="11"/>
    <x v="2"/>
    <x v="54"/>
    <x v="108"/>
    <x v="13"/>
    <x v="3"/>
    <x v="4"/>
    <x v="8"/>
    <x v="3"/>
    <x v="45"/>
    <x v="4"/>
  </r>
  <r>
    <x v="11"/>
    <x v="2"/>
    <x v="103"/>
    <x v="4"/>
    <x v="22"/>
    <x v="2"/>
    <x v="8"/>
    <x v="10"/>
    <x v="0"/>
    <x v="33"/>
    <x v="8"/>
  </r>
  <r>
    <x v="11"/>
    <x v="2"/>
    <x v="130"/>
    <x v="129"/>
    <x v="51"/>
    <x v="6"/>
    <x v="41"/>
    <x v="14"/>
    <x v="0"/>
    <x v="45"/>
    <x v="34"/>
  </r>
  <r>
    <x v="11"/>
    <x v="2"/>
    <x v="14"/>
    <x v="76"/>
    <x v="27"/>
    <x v="3"/>
    <x v="8"/>
    <x v="13"/>
    <x v="0"/>
    <x v="45"/>
    <x v="8"/>
  </r>
  <r>
    <x v="11"/>
    <x v="2"/>
    <x v="47"/>
    <x v="30"/>
    <x v="42"/>
    <x v="3"/>
    <x v="31"/>
    <x v="12"/>
    <x v="0"/>
    <x v="45"/>
    <x v="26"/>
  </r>
  <r>
    <x v="11"/>
    <x v="2"/>
    <x v="71"/>
    <x v="129"/>
    <x v="51"/>
    <x v="6"/>
    <x v="14"/>
    <x v="12"/>
    <x v="2"/>
    <x v="33"/>
    <x v="13"/>
  </r>
  <r>
    <x v="11"/>
    <x v="2"/>
    <x v="57"/>
    <x v="44"/>
    <x v="5"/>
    <x v="2"/>
    <x v="52"/>
    <x v="6"/>
    <x v="0"/>
    <x v="26"/>
    <x v="43"/>
  </r>
  <r>
    <x v="11"/>
    <x v="2"/>
    <x v="47"/>
    <x v="4"/>
    <x v="22"/>
    <x v="2"/>
    <x v="17"/>
    <x v="10"/>
    <x v="0"/>
    <x v="45"/>
    <x v="15"/>
  </r>
  <r>
    <x v="11"/>
    <x v="2"/>
    <x v="47"/>
    <x v="4"/>
    <x v="22"/>
    <x v="2"/>
    <x v="24"/>
    <x v="13"/>
    <x v="0"/>
    <x v="45"/>
    <x v="20"/>
  </r>
  <r>
    <x v="11"/>
    <x v="2"/>
    <x v="122"/>
    <x v="129"/>
    <x v="51"/>
    <x v="6"/>
    <x v="8"/>
    <x v="8"/>
    <x v="0"/>
    <x v="33"/>
    <x v="8"/>
  </r>
  <r>
    <x v="11"/>
    <x v="2"/>
    <x v="102"/>
    <x v="129"/>
    <x v="51"/>
    <x v="6"/>
    <x v="34"/>
    <x v="13"/>
    <x v="3"/>
    <x v="33"/>
    <x v="28"/>
  </r>
  <r>
    <x v="11"/>
    <x v="2"/>
    <x v="108"/>
    <x v="55"/>
    <x v="31"/>
    <x v="3"/>
    <x v="9"/>
    <x v="10"/>
    <x v="0"/>
    <x v="33"/>
    <x v="9"/>
  </r>
  <r>
    <x v="11"/>
    <x v="2"/>
    <x v="14"/>
    <x v="76"/>
    <x v="27"/>
    <x v="3"/>
    <x v="12"/>
    <x v="12"/>
    <x v="0"/>
    <x v="45"/>
    <x v="11"/>
  </r>
  <r>
    <x v="11"/>
    <x v="2"/>
    <x v="48"/>
    <x v="28"/>
    <x v="24"/>
    <x v="3"/>
    <x v="41"/>
    <x v="13"/>
    <x v="0"/>
    <x v="45"/>
    <x v="34"/>
  </r>
  <r>
    <x v="12"/>
    <x v="2"/>
    <x v="131"/>
    <x v="32"/>
    <x v="21"/>
    <x v="3"/>
    <x v="34"/>
    <x v="13"/>
    <x v="0"/>
    <x v="23"/>
    <x v="13"/>
  </r>
  <r>
    <x v="12"/>
    <x v="2"/>
    <x v="30"/>
    <x v="40"/>
    <x v="6"/>
    <x v="2"/>
    <x v="46"/>
    <x v="6"/>
    <x v="0"/>
    <x v="14"/>
    <x v="18"/>
  </r>
  <r>
    <x v="12"/>
    <x v="2"/>
    <x v="47"/>
    <x v="112"/>
    <x v="30"/>
    <x v="3"/>
    <x v="87"/>
    <x v="14"/>
    <x v="0"/>
    <x v="45"/>
    <x v="36"/>
  </r>
  <r>
    <x v="12"/>
    <x v="2"/>
    <x v="53"/>
    <x v="129"/>
    <x v="51"/>
    <x v="6"/>
    <x v="16"/>
    <x v="5"/>
    <x v="0"/>
    <x v="21"/>
    <x v="4"/>
  </r>
  <r>
    <x v="12"/>
    <x v="2"/>
    <x v="104"/>
    <x v="45"/>
    <x v="5"/>
    <x v="4"/>
    <x v="134"/>
    <x v="20"/>
    <x v="0"/>
    <x v="26"/>
    <x v="74"/>
  </r>
  <r>
    <x v="12"/>
    <x v="2"/>
    <x v="119"/>
    <x v="129"/>
    <x v="51"/>
    <x v="6"/>
    <x v="37"/>
    <x v="12"/>
    <x v="3"/>
    <x v="38"/>
    <x v="14"/>
  </r>
  <r>
    <x v="12"/>
    <x v="2"/>
    <x v="124"/>
    <x v="84"/>
    <x v="36"/>
    <x v="2"/>
    <x v="31"/>
    <x v="3"/>
    <x v="0"/>
    <x v="26"/>
    <x v="12"/>
  </r>
  <r>
    <x v="12"/>
    <x v="2"/>
    <x v="124"/>
    <x v="84"/>
    <x v="36"/>
    <x v="2"/>
    <x v="31"/>
    <x v="8"/>
    <x v="0"/>
    <x v="26"/>
    <x v="12"/>
  </r>
  <r>
    <x v="12"/>
    <x v="2"/>
    <x v="104"/>
    <x v="45"/>
    <x v="5"/>
    <x v="4"/>
    <x v="129"/>
    <x v="14"/>
    <x v="0"/>
    <x v="26"/>
    <x v="67"/>
  </r>
  <r>
    <x v="12"/>
    <x v="2"/>
    <x v="108"/>
    <x v="129"/>
    <x v="51"/>
    <x v="6"/>
    <x v="44"/>
    <x v="12"/>
    <x v="3"/>
    <x v="33"/>
    <x v="17"/>
  </r>
  <r>
    <x v="12"/>
    <x v="2"/>
    <x v="71"/>
    <x v="129"/>
    <x v="51"/>
    <x v="6"/>
    <x v="31"/>
    <x v="12"/>
    <x v="3"/>
    <x v="33"/>
    <x v="12"/>
  </r>
  <r>
    <x v="12"/>
    <x v="2"/>
    <x v="57"/>
    <x v="44"/>
    <x v="5"/>
    <x v="2"/>
    <x v="87"/>
    <x v="13"/>
    <x v="0"/>
    <x v="26"/>
    <x v="36"/>
  </r>
  <r>
    <x v="12"/>
    <x v="2"/>
    <x v="57"/>
    <x v="44"/>
    <x v="5"/>
    <x v="2"/>
    <x v="74"/>
    <x v="13"/>
    <x v="0"/>
    <x v="26"/>
    <x v="30"/>
  </r>
  <r>
    <x v="12"/>
    <x v="2"/>
    <x v="57"/>
    <x v="44"/>
    <x v="5"/>
    <x v="2"/>
    <x v="69"/>
    <x v="12"/>
    <x v="0"/>
    <x v="26"/>
    <x v="28"/>
  </r>
  <r>
    <x v="12"/>
    <x v="2"/>
    <x v="40"/>
    <x v="129"/>
    <x v="51"/>
    <x v="6"/>
    <x v="24"/>
    <x v="12"/>
    <x v="0"/>
    <x v="39"/>
    <x v="9"/>
  </r>
  <r>
    <x v="12"/>
    <x v="2"/>
    <x v="124"/>
    <x v="84"/>
    <x v="36"/>
    <x v="2"/>
    <x v="31"/>
    <x v="10"/>
    <x v="0"/>
    <x v="26"/>
    <x v="12"/>
  </r>
  <r>
    <x v="12"/>
    <x v="2"/>
    <x v="124"/>
    <x v="84"/>
    <x v="36"/>
    <x v="2"/>
    <x v="31"/>
    <x v="10"/>
    <x v="0"/>
    <x v="26"/>
    <x v="12"/>
  </r>
  <r>
    <x v="12"/>
    <x v="2"/>
    <x v="124"/>
    <x v="84"/>
    <x v="36"/>
    <x v="2"/>
    <x v="31"/>
    <x v="10"/>
    <x v="0"/>
    <x v="26"/>
    <x v="12"/>
  </r>
  <r>
    <x v="12"/>
    <x v="2"/>
    <x v="124"/>
    <x v="84"/>
    <x v="36"/>
    <x v="2"/>
    <x v="31"/>
    <x v="10"/>
    <x v="0"/>
    <x v="26"/>
    <x v="12"/>
  </r>
  <r>
    <x v="12"/>
    <x v="2"/>
    <x v="30"/>
    <x v="40"/>
    <x v="6"/>
    <x v="2"/>
    <x v="39"/>
    <x v="13"/>
    <x v="0"/>
    <x v="14"/>
    <x v="15"/>
  </r>
  <r>
    <x v="12"/>
    <x v="2"/>
    <x v="57"/>
    <x v="44"/>
    <x v="5"/>
    <x v="2"/>
    <x v="31"/>
    <x v="8"/>
    <x v="0"/>
    <x v="26"/>
    <x v="12"/>
  </r>
  <r>
    <x v="12"/>
    <x v="2"/>
    <x v="57"/>
    <x v="44"/>
    <x v="5"/>
    <x v="2"/>
    <x v="63"/>
    <x v="12"/>
    <x v="0"/>
    <x v="26"/>
    <x v="25"/>
  </r>
  <r>
    <x v="12"/>
    <x v="2"/>
    <x v="57"/>
    <x v="44"/>
    <x v="5"/>
    <x v="2"/>
    <x v="48"/>
    <x v="8"/>
    <x v="0"/>
    <x v="26"/>
    <x v="19"/>
  </r>
  <r>
    <x v="12"/>
    <x v="2"/>
    <x v="47"/>
    <x v="129"/>
    <x v="51"/>
    <x v="6"/>
    <x v="71"/>
    <x v="16"/>
    <x v="0"/>
    <x v="45"/>
    <x v="29"/>
  </r>
  <r>
    <x v="12"/>
    <x v="2"/>
    <x v="86"/>
    <x v="129"/>
    <x v="51"/>
    <x v="6"/>
    <x v="146"/>
    <x v="20"/>
    <x v="0"/>
    <x v="38"/>
    <x v="109"/>
  </r>
  <r>
    <x v="12"/>
    <x v="2"/>
    <x v="57"/>
    <x v="44"/>
    <x v="5"/>
    <x v="2"/>
    <x v="109"/>
    <x v="8"/>
    <x v="0"/>
    <x v="26"/>
    <x v="48"/>
  </r>
  <r>
    <x v="12"/>
    <x v="2"/>
    <x v="20"/>
    <x v="8"/>
    <x v="2"/>
    <x v="2"/>
    <x v="63"/>
    <x v="12"/>
    <x v="3"/>
    <x v="33"/>
    <x v="25"/>
  </r>
  <r>
    <x v="12"/>
    <x v="2"/>
    <x v="102"/>
    <x v="129"/>
    <x v="51"/>
    <x v="6"/>
    <x v="29"/>
    <x v="8"/>
    <x v="3"/>
    <x v="33"/>
    <x v="11"/>
  </r>
  <r>
    <x v="12"/>
    <x v="2"/>
    <x v="57"/>
    <x v="44"/>
    <x v="5"/>
    <x v="2"/>
    <x v="87"/>
    <x v="12"/>
    <x v="0"/>
    <x v="26"/>
    <x v="36"/>
  </r>
  <r>
    <x v="12"/>
    <x v="2"/>
    <x v="59"/>
    <x v="48"/>
    <x v="5"/>
    <x v="3"/>
    <x v="140"/>
    <x v="13"/>
    <x v="0"/>
    <x v="26"/>
    <x v="91"/>
  </r>
  <r>
    <x v="13"/>
    <x v="4"/>
    <x v="26"/>
    <x v="46"/>
    <x v="5"/>
    <x v="2"/>
    <x v="22"/>
    <x v="12"/>
    <x v="0"/>
    <x v="45"/>
    <x v="19"/>
  </r>
  <r>
    <x v="13"/>
    <x v="4"/>
    <x v="14"/>
    <x v="56"/>
    <x v="42"/>
    <x v="3"/>
    <x v="9"/>
    <x v="8"/>
    <x v="3"/>
    <x v="45"/>
    <x v="9"/>
  </r>
  <r>
    <x v="13"/>
    <x v="4"/>
    <x v="19"/>
    <x v="13"/>
    <x v="29"/>
    <x v="5"/>
    <x v="16"/>
    <x v="11"/>
    <x v="0"/>
    <x v="2"/>
    <x v="14"/>
  </r>
  <r>
    <x v="13"/>
    <x v="4"/>
    <x v="71"/>
    <x v="15"/>
    <x v="34"/>
    <x v="2"/>
    <x v="8"/>
    <x v="6"/>
    <x v="0"/>
    <x v="33"/>
    <x v="8"/>
  </r>
  <r>
    <x v="13"/>
    <x v="4"/>
    <x v="108"/>
    <x v="125"/>
    <x v="37"/>
    <x v="5"/>
    <x v="9"/>
    <x v="8"/>
    <x v="0"/>
    <x v="33"/>
    <x v="9"/>
  </r>
  <r>
    <x v="13"/>
    <x v="4"/>
    <x v="103"/>
    <x v="129"/>
    <x v="51"/>
    <x v="6"/>
    <x v="12"/>
    <x v="12"/>
    <x v="3"/>
    <x v="26"/>
    <x v="11"/>
  </r>
  <r>
    <x v="13"/>
    <x v="4"/>
    <x v="103"/>
    <x v="129"/>
    <x v="51"/>
    <x v="6"/>
    <x v="12"/>
    <x v="12"/>
    <x v="3"/>
    <x v="26"/>
    <x v="11"/>
  </r>
  <r>
    <x v="13"/>
    <x v="4"/>
    <x v="14"/>
    <x v="56"/>
    <x v="42"/>
    <x v="3"/>
    <x v="17"/>
    <x v="14"/>
    <x v="0"/>
    <x v="45"/>
    <x v="15"/>
  </r>
  <r>
    <x v="13"/>
    <x v="4"/>
    <x v="14"/>
    <x v="56"/>
    <x v="42"/>
    <x v="3"/>
    <x v="17"/>
    <x v="14"/>
    <x v="0"/>
    <x v="45"/>
    <x v="15"/>
  </r>
  <r>
    <x v="13"/>
    <x v="4"/>
    <x v="14"/>
    <x v="56"/>
    <x v="42"/>
    <x v="3"/>
    <x v="4"/>
    <x v="8"/>
    <x v="0"/>
    <x v="45"/>
    <x v="4"/>
  </r>
  <r>
    <x v="13"/>
    <x v="4"/>
    <x v="108"/>
    <x v="125"/>
    <x v="37"/>
    <x v="5"/>
    <x v="8"/>
    <x v="10"/>
    <x v="0"/>
    <x v="33"/>
    <x v="8"/>
  </r>
  <r>
    <x v="13"/>
    <x v="4"/>
    <x v="54"/>
    <x v="129"/>
    <x v="13"/>
    <x v="3"/>
    <x v="8"/>
    <x v="12"/>
    <x v="0"/>
    <x v="45"/>
    <x v="8"/>
  </r>
  <r>
    <x v="13"/>
    <x v="4"/>
    <x v="61"/>
    <x v="123"/>
    <x v="15"/>
    <x v="3"/>
    <x v="21"/>
    <x v="14"/>
    <x v="0"/>
    <x v="33"/>
    <x v="18"/>
  </r>
  <r>
    <x v="13"/>
    <x v="4"/>
    <x v="0"/>
    <x v="63"/>
    <x v="26"/>
    <x v="3"/>
    <x v="8"/>
    <x v="10"/>
    <x v="0"/>
    <x v="45"/>
    <x v="8"/>
  </r>
  <r>
    <x v="13"/>
    <x v="4"/>
    <x v="140"/>
    <x v="98"/>
    <x v="42"/>
    <x v="2"/>
    <x v="8"/>
    <x v="8"/>
    <x v="0"/>
    <x v="3"/>
    <x v="8"/>
  </r>
  <r>
    <x v="13"/>
    <x v="4"/>
    <x v="108"/>
    <x v="125"/>
    <x v="37"/>
    <x v="5"/>
    <x v="9"/>
    <x v="8"/>
    <x v="3"/>
    <x v="33"/>
    <x v="9"/>
  </r>
  <r>
    <x v="13"/>
    <x v="4"/>
    <x v="14"/>
    <x v="56"/>
    <x v="42"/>
    <x v="3"/>
    <x v="10"/>
    <x v="8"/>
    <x v="3"/>
    <x v="45"/>
    <x v="10"/>
  </r>
  <r>
    <x v="13"/>
    <x v="4"/>
    <x v="99"/>
    <x v="129"/>
    <x v="51"/>
    <x v="6"/>
    <x v="4"/>
    <x v="8"/>
    <x v="0"/>
    <x v="33"/>
    <x v="4"/>
  </r>
  <r>
    <x v="13"/>
    <x v="4"/>
    <x v="140"/>
    <x v="98"/>
    <x v="42"/>
    <x v="2"/>
    <x v="8"/>
    <x v="6"/>
    <x v="0"/>
    <x v="3"/>
    <x v="8"/>
  </r>
  <r>
    <x v="13"/>
    <x v="4"/>
    <x v="0"/>
    <x v="63"/>
    <x v="26"/>
    <x v="3"/>
    <x v="13"/>
    <x v="10"/>
    <x v="0"/>
    <x v="45"/>
    <x v="12"/>
  </r>
  <r>
    <x v="13"/>
    <x v="4"/>
    <x v="14"/>
    <x v="56"/>
    <x v="42"/>
    <x v="3"/>
    <x v="16"/>
    <x v="13"/>
    <x v="3"/>
    <x v="45"/>
    <x v="14"/>
  </r>
  <r>
    <x v="13"/>
    <x v="4"/>
    <x v="86"/>
    <x v="127"/>
    <x v="1"/>
    <x v="3"/>
    <x v="46"/>
    <x v="18"/>
    <x v="0"/>
    <x v="38"/>
    <x v="38"/>
  </r>
  <r>
    <x v="13"/>
    <x v="4"/>
    <x v="71"/>
    <x v="127"/>
    <x v="1"/>
    <x v="3"/>
    <x v="5"/>
    <x v="6"/>
    <x v="0"/>
    <x v="33"/>
    <x v="6"/>
  </r>
  <r>
    <x v="13"/>
    <x v="4"/>
    <x v="19"/>
    <x v="13"/>
    <x v="29"/>
    <x v="5"/>
    <x v="34"/>
    <x v="16"/>
    <x v="0"/>
    <x v="2"/>
    <x v="28"/>
  </r>
  <r>
    <x v="13"/>
    <x v="4"/>
    <x v="14"/>
    <x v="56"/>
    <x v="42"/>
    <x v="3"/>
    <x v="14"/>
    <x v="14"/>
    <x v="0"/>
    <x v="45"/>
    <x v="13"/>
  </r>
  <r>
    <x v="13"/>
    <x v="4"/>
    <x v="108"/>
    <x v="125"/>
    <x v="37"/>
    <x v="5"/>
    <x v="4"/>
    <x v="6"/>
    <x v="0"/>
    <x v="33"/>
    <x v="4"/>
  </r>
  <r>
    <x v="13"/>
    <x v="4"/>
    <x v="44"/>
    <x v="122"/>
    <x v="3"/>
    <x v="2"/>
    <x v="4"/>
    <x v="3"/>
    <x v="0"/>
    <x v="45"/>
    <x v="4"/>
  </r>
  <r>
    <x v="13"/>
    <x v="4"/>
    <x v="24"/>
    <x v="129"/>
    <x v="45"/>
    <x v="3"/>
    <x v="4"/>
    <x v="3"/>
    <x v="0"/>
    <x v="33"/>
    <x v="4"/>
  </r>
  <r>
    <x v="13"/>
    <x v="4"/>
    <x v="140"/>
    <x v="98"/>
    <x v="42"/>
    <x v="2"/>
    <x v="4"/>
    <x v="3"/>
    <x v="0"/>
    <x v="3"/>
    <x v="4"/>
  </r>
  <r>
    <x v="13"/>
    <x v="4"/>
    <x v="99"/>
    <x v="129"/>
    <x v="51"/>
    <x v="6"/>
    <x v="4"/>
    <x v="8"/>
    <x v="0"/>
    <x v="26"/>
    <x v="4"/>
  </r>
  <r>
    <x v="13"/>
    <x v="4"/>
    <x v="108"/>
    <x v="125"/>
    <x v="37"/>
    <x v="5"/>
    <x v="8"/>
    <x v="6"/>
    <x v="0"/>
    <x v="33"/>
    <x v="8"/>
  </r>
  <r>
    <x v="13"/>
    <x v="4"/>
    <x v="30"/>
    <x v="40"/>
    <x v="6"/>
    <x v="2"/>
    <x v="13"/>
    <x v="10"/>
    <x v="0"/>
    <x v="14"/>
    <x v="12"/>
  </r>
  <r>
    <x v="13"/>
    <x v="4"/>
    <x v="30"/>
    <x v="40"/>
    <x v="6"/>
    <x v="2"/>
    <x v="9"/>
    <x v="10"/>
    <x v="0"/>
    <x v="14"/>
    <x v="9"/>
  </r>
  <r>
    <x v="13"/>
    <x v="4"/>
    <x v="30"/>
    <x v="40"/>
    <x v="6"/>
    <x v="2"/>
    <x v="4"/>
    <x v="6"/>
    <x v="0"/>
    <x v="14"/>
    <x v="4"/>
  </r>
  <r>
    <x v="13"/>
    <x v="4"/>
    <x v="108"/>
    <x v="125"/>
    <x v="37"/>
    <x v="5"/>
    <x v="21"/>
    <x v="10"/>
    <x v="0"/>
    <x v="33"/>
    <x v="18"/>
  </r>
  <r>
    <x v="13"/>
    <x v="4"/>
    <x v="30"/>
    <x v="40"/>
    <x v="6"/>
    <x v="2"/>
    <x v="12"/>
    <x v="12"/>
    <x v="0"/>
    <x v="14"/>
    <x v="11"/>
  </r>
  <r>
    <x v="13"/>
    <x v="4"/>
    <x v="30"/>
    <x v="40"/>
    <x v="6"/>
    <x v="2"/>
    <x v="9"/>
    <x v="10"/>
    <x v="0"/>
    <x v="14"/>
    <x v="9"/>
  </r>
  <r>
    <x v="13"/>
    <x v="4"/>
    <x v="30"/>
    <x v="40"/>
    <x v="6"/>
    <x v="2"/>
    <x v="8"/>
    <x v="8"/>
    <x v="0"/>
    <x v="14"/>
    <x v="8"/>
  </r>
  <r>
    <x v="13"/>
    <x v="4"/>
    <x v="86"/>
    <x v="127"/>
    <x v="1"/>
    <x v="3"/>
    <x v="35"/>
    <x v="20"/>
    <x v="0"/>
    <x v="38"/>
    <x v="29"/>
  </r>
  <r>
    <x v="13"/>
    <x v="4"/>
    <x v="122"/>
    <x v="86"/>
    <x v="42"/>
    <x v="3"/>
    <x v="4"/>
    <x v="10"/>
    <x v="3"/>
    <x v="33"/>
    <x v="4"/>
  </r>
  <r>
    <x v="13"/>
    <x v="4"/>
    <x v="93"/>
    <x v="73"/>
    <x v="32"/>
    <x v="2"/>
    <x v="10"/>
    <x v="8"/>
    <x v="0"/>
    <x v="45"/>
    <x v="10"/>
  </r>
  <r>
    <x v="13"/>
    <x v="4"/>
    <x v="108"/>
    <x v="125"/>
    <x v="37"/>
    <x v="5"/>
    <x v="20"/>
    <x v="8"/>
    <x v="0"/>
    <x v="33"/>
    <x v="17"/>
  </r>
  <r>
    <x v="13"/>
    <x v="4"/>
    <x v="57"/>
    <x v="44"/>
    <x v="5"/>
    <x v="2"/>
    <x v="22"/>
    <x v="8"/>
    <x v="0"/>
    <x v="26"/>
    <x v="19"/>
  </r>
  <r>
    <x v="13"/>
    <x v="4"/>
    <x v="54"/>
    <x v="95"/>
    <x v="42"/>
    <x v="3"/>
    <x v="4"/>
    <x v="3"/>
    <x v="0"/>
    <x v="45"/>
    <x v="4"/>
  </r>
  <r>
    <x v="13"/>
    <x v="4"/>
    <x v="57"/>
    <x v="44"/>
    <x v="5"/>
    <x v="2"/>
    <x v="33"/>
    <x v="8"/>
    <x v="0"/>
    <x v="26"/>
    <x v="27"/>
  </r>
  <r>
    <x v="13"/>
    <x v="4"/>
    <x v="86"/>
    <x v="127"/>
    <x v="1"/>
    <x v="3"/>
    <x v="22"/>
    <x v="13"/>
    <x v="0"/>
    <x v="38"/>
    <x v="19"/>
  </r>
  <r>
    <x v="13"/>
    <x v="4"/>
    <x v="30"/>
    <x v="40"/>
    <x v="6"/>
    <x v="2"/>
    <x v="10"/>
    <x v="12"/>
    <x v="0"/>
    <x v="14"/>
    <x v="10"/>
  </r>
  <r>
    <x v="13"/>
    <x v="4"/>
    <x v="119"/>
    <x v="129"/>
    <x v="51"/>
    <x v="6"/>
    <x v="8"/>
    <x v="12"/>
    <x v="2"/>
    <x v="38"/>
    <x v="8"/>
  </r>
  <r>
    <x v="13"/>
    <x v="4"/>
    <x v="108"/>
    <x v="125"/>
    <x v="37"/>
    <x v="5"/>
    <x v="4"/>
    <x v="3"/>
    <x v="0"/>
    <x v="33"/>
    <x v="4"/>
  </r>
  <r>
    <x v="13"/>
    <x v="4"/>
    <x v="14"/>
    <x v="56"/>
    <x v="42"/>
    <x v="3"/>
    <x v="9"/>
    <x v="10"/>
    <x v="0"/>
    <x v="45"/>
    <x v="9"/>
  </r>
  <r>
    <x v="13"/>
    <x v="4"/>
    <x v="74"/>
    <x v="129"/>
    <x v="31"/>
    <x v="3"/>
    <x v="45"/>
    <x v="16"/>
    <x v="0"/>
    <x v="33"/>
    <x v="37"/>
  </r>
  <r>
    <x v="13"/>
    <x v="4"/>
    <x v="86"/>
    <x v="127"/>
    <x v="1"/>
    <x v="3"/>
    <x v="13"/>
    <x v="12"/>
    <x v="0"/>
    <x v="38"/>
    <x v="12"/>
  </r>
  <r>
    <x v="13"/>
    <x v="4"/>
    <x v="93"/>
    <x v="76"/>
    <x v="27"/>
    <x v="3"/>
    <x v="21"/>
    <x v="10"/>
    <x v="0"/>
    <x v="45"/>
    <x v="18"/>
  </r>
  <r>
    <x v="13"/>
    <x v="4"/>
    <x v="48"/>
    <x v="28"/>
    <x v="24"/>
    <x v="3"/>
    <x v="8"/>
    <x v="9"/>
    <x v="0"/>
    <x v="45"/>
    <x v="8"/>
  </r>
  <r>
    <x v="14"/>
    <x v="4"/>
    <x v="15"/>
    <x v="121"/>
    <x v="23"/>
    <x v="3"/>
    <x v="4"/>
    <x v="3"/>
    <x v="0"/>
    <x v="45"/>
    <x v="4"/>
  </r>
  <r>
    <x v="14"/>
    <x v="4"/>
    <x v="122"/>
    <x v="129"/>
    <x v="51"/>
    <x v="6"/>
    <x v="12"/>
    <x v="10"/>
    <x v="0"/>
    <x v="33"/>
    <x v="11"/>
  </r>
  <r>
    <x v="14"/>
    <x v="4"/>
    <x v="122"/>
    <x v="129"/>
    <x v="51"/>
    <x v="6"/>
    <x v="8"/>
    <x v="10"/>
    <x v="0"/>
    <x v="33"/>
    <x v="8"/>
  </r>
  <r>
    <x v="14"/>
    <x v="4"/>
    <x v="71"/>
    <x v="129"/>
    <x v="51"/>
    <x v="6"/>
    <x v="4"/>
    <x v="10"/>
    <x v="0"/>
    <x v="33"/>
    <x v="4"/>
  </r>
  <r>
    <x v="14"/>
    <x v="4"/>
    <x v="71"/>
    <x v="129"/>
    <x v="51"/>
    <x v="6"/>
    <x v="4"/>
    <x v="10"/>
    <x v="0"/>
    <x v="26"/>
    <x v="4"/>
  </r>
  <r>
    <x v="14"/>
    <x v="4"/>
    <x v="20"/>
    <x v="8"/>
    <x v="2"/>
    <x v="2"/>
    <x v="21"/>
    <x v="13"/>
    <x v="0"/>
    <x v="33"/>
    <x v="18"/>
  </r>
  <r>
    <x v="14"/>
    <x v="4"/>
    <x v="99"/>
    <x v="86"/>
    <x v="42"/>
    <x v="3"/>
    <x v="12"/>
    <x v="8"/>
    <x v="0"/>
    <x v="26"/>
    <x v="11"/>
  </r>
  <r>
    <x v="14"/>
    <x v="4"/>
    <x v="93"/>
    <x v="73"/>
    <x v="32"/>
    <x v="2"/>
    <x v="105"/>
    <x v="23"/>
    <x v="0"/>
    <x v="45"/>
    <x v="87"/>
  </r>
  <r>
    <x v="14"/>
    <x v="4"/>
    <x v="57"/>
    <x v="44"/>
    <x v="5"/>
    <x v="2"/>
    <x v="30"/>
    <x v="10"/>
    <x v="0"/>
    <x v="26"/>
    <x v="25"/>
  </r>
  <r>
    <x v="14"/>
    <x v="4"/>
    <x v="4"/>
    <x v="112"/>
    <x v="30"/>
    <x v="3"/>
    <x v="25"/>
    <x v="14"/>
    <x v="0"/>
    <x v="45"/>
    <x v="21"/>
  </r>
  <r>
    <x v="14"/>
    <x v="4"/>
    <x v="48"/>
    <x v="28"/>
    <x v="24"/>
    <x v="3"/>
    <x v="65"/>
    <x v="23"/>
    <x v="0"/>
    <x v="45"/>
    <x v="54"/>
  </r>
  <r>
    <x v="14"/>
    <x v="4"/>
    <x v="78"/>
    <x v="115"/>
    <x v="31"/>
    <x v="3"/>
    <x v="4"/>
    <x v="10"/>
    <x v="0"/>
    <x v="37"/>
    <x v="4"/>
  </r>
  <r>
    <x v="14"/>
    <x v="4"/>
    <x v="4"/>
    <x v="112"/>
    <x v="30"/>
    <x v="3"/>
    <x v="29"/>
    <x v="13"/>
    <x v="3"/>
    <x v="45"/>
    <x v="24"/>
  </r>
  <r>
    <x v="14"/>
    <x v="4"/>
    <x v="78"/>
    <x v="115"/>
    <x v="31"/>
    <x v="3"/>
    <x v="17"/>
    <x v="13"/>
    <x v="3"/>
    <x v="37"/>
    <x v="15"/>
  </r>
  <r>
    <x v="14"/>
    <x v="4"/>
    <x v="104"/>
    <x v="48"/>
    <x v="5"/>
    <x v="3"/>
    <x v="86"/>
    <x v="23"/>
    <x v="0"/>
    <x v="46"/>
    <x v="71"/>
  </r>
  <r>
    <x v="14"/>
    <x v="4"/>
    <x v="86"/>
    <x v="129"/>
    <x v="51"/>
    <x v="6"/>
    <x v="14"/>
    <x v="14"/>
    <x v="0"/>
    <x v="38"/>
    <x v="13"/>
  </r>
  <r>
    <x v="14"/>
    <x v="4"/>
    <x v="30"/>
    <x v="40"/>
    <x v="6"/>
    <x v="2"/>
    <x v="22"/>
    <x v="14"/>
    <x v="0"/>
    <x v="14"/>
    <x v="19"/>
  </r>
  <r>
    <x v="14"/>
    <x v="4"/>
    <x v="71"/>
    <x v="129"/>
    <x v="51"/>
    <x v="6"/>
    <x v="9"/>
    <x v="6"/>
    <x v="3"/>
    <x v="33"/>
    <x v="9"/>
  </r>
  <r>
    <x v="14"/>
    <x v="4"/>
    <x v="4"/>
    <x v="112"/>
    <x v="30"/>
    <x v="3"/>
    <x v="4"/>
    <x v="8"/>
    <x v="3"/>
    <x v="45"/>
    <x v="4"/>
  </r>
  <r>
    <x v="14"/>
    <x v="4"/>
    <x v="74"/>
    <x v="104"/>
    <x v="31"/>
    <x v="3"/>
    <x v="20"/>
    <x v="12"/>
    <x v="0"/>
    <x v="33"/>
    <x v="17"/>
  </r>
  <r>
    <x v="14"/>
    <x v="4"/>
    <x v="62"/>
    <x v="129"/>
    <x v="51"/>
    <x v="6"/>
    <x v="69"/>
    <x v="23"/>
    <x v="0"/>
    <x v="33"/>
    <x v="57"/>
  </r>
  <r>
    <x v="14"/>
    <x v="4"/>
    <x v="25"/>
    <x v="129"/>
    <x v="51"/>
    <x v="6"/>
    <x v="114"/>
    <x v="20"/>
    <x v="0"/>
    <x v="38"/>
    <x v="95"/>
  </r>
  <r>
    <x v="14"/>
    <x v="4"/>
    <x v="57"/>
    <x v="44"/>
    <x v="5"/>
    <x v="2"/>
    <x v="31"/>
    <x v="10"/>
    <x v="0"/>
    <x v="26"/>
    <x v="26"/>
  </r>
  <r>
    <x v="14"/>
    <x v="4"/>
    <x v="57"/>
    <x v="44"/>
    <x v="5"/>
    <x v="2"/>
    <x v="31"/>
    <x v="10"/>
    <x v="0"/>
    <x v="26"/>
    <x v="26"/>
  </r>
  <r>
    <x v="14"/>
    <x v="4"/>
    <x v="27"/>
    <x v="129"/>
    <x v="51"/>
    <x v="6"/>
    <x v="20"/>
    <x v="16"/>
    <x v="0"/>
    <x v="33"/>
    <x v="17"/>
  </r>
  <r>
    <x v="14"/>
    <x v="4"/>
    <x v="78"/>
    <x v="129"/>
    <x v="31"/>
    <x v="3"/>
    <x v="20"/>
    <x v="13"/>
    <x v="2"/>
    <x v="37"/>
    <x v="17"/>
  </r>
  <r>
    <x v="14"/>
    <x v="4"/>
    <x v="122"/>
    <x v="129"/>
    <x v="51"/>
    <x v="6"/>
    <x v="9"/>
    <x v="10"/>
    <x v="0"/>
    <x v="33"/>
    <x v="9"/>
  </r>
  <r>
    <x v="14"/>
    <x v="4"/>
    <x v="4"/>
    <x v="112"/>
    <x v="30"/>
    <x v="3"/>
    <x v="14"/>
    <x v="12"/>
    <x v="0"/>
    <x v="45"/>
    <x v="13"/>
  </r>
  <r>
    <x v="14"/>
    <x v="4"/>
    <x v="123"/>
    <x v="39"/>
    <x v="45"/>
    <x v="2"/>
    <x v="4"/>
    <x v="6"/>
    <x v="0"/>
    <x v="33"/>
    <x v="4"/>
  </r>
  <r>
    <x v="14"/>
    <x v="4"/>
    <x v="99"/>
    <x v="99"/>
    <x v="42"/>
    <x v="3"/>
    <x v="12"/>
    <x v="12"/>
    <x v="0"/>
    <x v="26"/>
    <x v="11"/>
  </r>
  <r>
    <x v="14"/>
    <x v="4"/>
    <x v="48"/>
    <x v="28"/>
    <x v="24"/>
    <x v="3"/>
    <x v="78"/>
    <x v="20"/>
    <x v="0"/>
    <x v="45"/>
    <x v="63"/>
  </r>
  <r>
    <x v="15"/>
    <x v="4"/>
    <x v="104"/>
    <x v="45"/>
    <x v="5"/>
    <x v="4"/>
    <x v="103"/>
    <x v="16"/>
    <x v="0"/>
    <x v="26"/>
    <x v="85"/>
  </r>
  <r>
    <x v="15"/>
    <x v="4"/>
    <x v="104"/>
    <x v="45"/>
    <x v="5"/>
    <x v="4"/>
    <x v="74"/>
    <x v="16"/>
    <x v="0"/>
    <x v="26"/>
    <x v="60"/>
  </r>
  <r>
    <x v="15"/>
    <x v="4"/>
    <x v="30"/>
    <x v="40"/>
    <x v="6"/>
    <x v="2"/>
    <x v="4"/>
    <x v="3"/>
    <x v="0"/>
    <x v="14"/>
    <x v="4"/>
  </r>
  <r>
    <x v="15"/>
    <x v="4"/>
    <x v="86"/>
    <x v="129"/>
    <x v="51"/>
    <x v="6"/>
    <x v="16"/>
    <x v="13"/>
    <x v="0"/>
    <x v="38"/>
    <x v="14"/>
  </r>
  <r>
    <x v="15"/>
    <x v="4"/>
    <x v="86"/>
    <x v="129"/>
    <x v="51"/>
    <x v="6"/>
    <x v="9"/>
    <x v="10"/>
    <x v="0"/>
    <x v="38"/>
    <x v="9"/>
  </r>
  <r>
    <x v="15"/>
    <x v="4"/>
    <x v="95"/>
    <x v="129"/>
    <x v="51"/>
    <x v="6"/>
    <x v="25"/>
    <x v="14"/>
    <x v="0"/>
    <x v="45"/>
    <x v="21"/>
  </r>
  <r>
    <x v="15"/>
    <x v="4"/>
    <x v="122"/>
    <x v="129"/>
    <x v="51"/>
    <x v="6"/>
    <x v="12"/>
    <x v="10"/>
    <x v="0"/>
    <x v="33"/>
    <x v="11"/>
  </r>
  <r>
    <x v="15"/>
    <x v="4"/>
    <x v="119"/>
    <x v="128"/>
    <x v="43"/>
    <x v="2"/>
    <x v="8"/>
    <x v="8"/>
    <x v="0"/>
    <x v="38"/>
    <x v="8"/>
  </r>
  <r>
    <x v="15"/>
    <x v="4"/>
    <x v="30"/>
    <x v="40"/>
    <x v="6"/>
    <x v="2"/>
    <x v="12"/>
    <x v="12"/>
    <x v="0"/>
    <x v="14"/>
    <x v="11"/>
  </r>
  <r>
    <x v="15"/>
    <x v="4"/>
    <x v="30"/>
    <x v="40"/>
    <x v="6"/>
    <x v="2"/>
    <x v="26"/>
    <x v="12"/>
    <x v="0"/>
    <x v="14"/>
    <x v="22"/>
  </r>
  <r>
    <x v="15"/>
    <x v="4"/>
    <x v="40"/>
    <x v="129"/>
    <x v="51"/>
    <x v="6"/>
    <x v="4"/>
    <x v="10"/>
    <x v="2"/>
    <x v="39"/>
    <x v="4"/>
  </r>
  <r>
    <x v="15"/>
    <x v="4"/>
    <x v="57"/>
    <x v="44"/>
    <x v="5"/>
    <x v="2"/>
    <x v="37"/>
    <x v="12"/>
    <x v="0"/>
    <x v="26"/>
    <x v="30"/>
  </r>
  <r>
    <x v="15"/>
    <x v="4"/>
    <x v="40"/>
    <x v="36"/>
    <x v="17"/>
    <x v="3"/>
    <x v="8"/>
    <x v="10"/>
    <x v="3"/>
    <x v="39"/>
    <x v="8"/>
  </r>
  <r>
    <x v="15"/>
    <x v="4"/>
    <x v="95"/>
    <x v="129"/>
    <x v="51"/>
    <x v="6"/>
    <x v="4"/>
    <x v="8"/>
    <x v="3"/>
    <x v="45"/>
    <x v="4"/>
  </r>
  <r>
    <x v="15"/>
    <x v="4"/>
    <x v="30"/>
    <x v="40"/>
    <x v="6"/>
    <x v="2"/>
    <x v="4"/>
    <x v="10"/>
    <x v="0"/>
    <x v="14"/>
    <x v="4"/>
  </r>
  <r>
    <x v="15"/>
    <x v="4"/>
    <x v="30"/>
    <x v="40"/>
    <x v="6"/>
    <x v="2"/>
    <x v="4"/>
    <x v="10"/>
    <x v="0"/>
    <x v="14"/>
    <x v="4"/>
  </r>
  <r>
    <x v="15"/>
    <x v="4"/>
    <x v="122"/>
    <x v="76"/>
    <x v="27"/>
    <x v="3"/>
    <x v="22"/>
    <x v="13"/>
    <x v="0"/>
    <x v="33"/>
    <x v="19"/>
  </r>
  <r>
    <x v="15"/>
    <x v="4"/>
    <x v="99"/>
    <x v="129"/>
    <x v="51"/>
    <x v="6"/>
    <x v="13"/>
    <x v="10"/>
    <x v="0"/>
    <x v="26"/>
    <x v="12"/>
  </r>
  <r>
    <x v="15"/>
    <x v="4"/>
    <x v="54"/>
    <x v="129"/>
    <x v="42"/>
    <x v="3"/>
    <x v="4"/>
    <x v="5"/>
    <x v="0"/>
    <x v="45"/>
    <x v="4"/>
  </r>
  <r>
    <x v="15"/>
    <x v="4"/>
    <x v="104"/>
    <x v="48"/>
    <x v="5"/>
    <x v="3"/>
    <x v="54"/>
    <x v="13"/>
    <x v="0"/>
    <x v="26"/>
    <x v="45"/>
  </r>
  <r>
    <x v="15"/>
    <x v="4"/>
    <x v="104"/>
    <x v="48"/>
    <x v="5"/>
    <x v="3"/>
    <x v="111"/>
    <x v="23"/>
    <x v="0"/>
    <x v="26"/>
    <x v="92"/>
  </r>
  <r>
    <x v="15"/>
    <x v="4"/>
    <x v="57"/>
    <x v="44"/>
    <x v="5"/>
    <x v="3"/>
    <x v="35"/>
    <x v="13"/>
    <x v="5"/>
    <x v="26"/>
    <x v="29"/>
  </r>
  <r>
    <x v="15"/>
    <x v="4"/>
    <x v="113"/>
    <x v="10"/>
    <x v="0"/>
    <x v="2"/>
    <x v="123"/>
    <x v="23"/>
    <x v="0"/>
    <x v="45"/>
    <x v="103"/>
  </r>
  <r>
    <x v="15"/>
    <x v="4"/>
    <x v="61"/>
    <x v="123"/>
    <x v="15"/>
    <x v="3"/>
    <x v="109"/>
    <x v="23"/>
    <x v="0"/>
    <x v="33"/>
    <x v="91"/>
  </r>
  <r>
    <x v="15"/>
    <x v="4"/>
    <x v="30"/>
    <x v="40"/>
    <x v="6"/>
    <x v="2"/>
    <x v="12"/>
    <x v="13"/>
    <x v="0"/>
    <x v="14"/>
    <x v="11"/>
  </r>
  <r>
    <x v="15"/>
    <x v="4"/>
    <x v="30"/>
    <x v="40"/>
    <x v="6"/>
    <x v="2"/>
    <x v="12"/>
    <x v="13"/>
    <x v="0"/>
    <x v="14"/>
    <x v="11"/>
  </r>
  <r>
    <x v="15"/>
    <x v="4"/>
    <x v="0"/>
    <x v="129"/>
    <x v="51"/>
    <x v="6"/>
    <x v="37"/>
    <x v="18"/>
    <x v="0"/>
    <x v="26"/>
    <x v="30"/>
  </r>
  <r>
    <x v="15"/>
    <x v="4"/>
    <x v="40"/>
    <x v="129"/>
    <x v="51"/>
    <x v="6"/>
    <x v="9"/>
    <x v="12"/>
    <x v="3"/>
    <x v="39"/>
    <x v="9"/>
  </r>
  <r>
    <x v="15"/>
    <x v="4"/>
    <x v="119"/>
    <x v="129"/>
    <x v="51"/>
    <x v="6"/>
    <x v="8"/>
    <x v="8"/>
    <x v="0"/>
    <x v="38"/>
    <x v="8"/>
  </r>
  <r>
    <x v="15"/>
    <x v="4"/>
    <x v="30"/>
    <x v="40"/>
    <x v="6"/>
    <x v="2"/>
    <x v="34"/>
    <x v="14"/>
    <x v="0"/>
    <x v="14"/>
    <x v="28"/>
  </r>
  <r>
    <x v="16"/>
    <x v="2"/>
    <x v="129"/>
    <x v="129"/>
    <x v="51"/>
    <x v="6"/>
    <x v="135"/>
    <x v="26"/>
    <x v="0"/>
    <x v="33"/>
    <x v="113"/>
  </r>
  <r>
    <x v="16"/>
    <x v="2"/>
    <x v="78"/>
    <x v="129"/>
    <x v="31"/>
    <x v="6"/>
    <x v="18"/>
    <x v="14"/>
    <x v="0"/>
    <x v="37"/>
    <x v="16"/>
  </r>
  <r>
    <x v="16"/>
    <x v="2"/>
    <x v="122"/>
    <x v="76"/>
    <x v="27"/>
    <x v="3"/>
    <x v="13"/>
    <x v="13"/>
    <x v="0"/>
    <x v="33"/>
    <x v="12"/>
  </r>
  <r>
    <x v="16"/>
    <x v="2"/>
    <x v="40"/>
    <x v="36"/>
    <x v="17"/>
    <x v="3"/>
    <x v="10"/>
    <x v="13"/>
    <x v="3"/>
    <x v="39"/>
    <x v="10"/>
  </r>
  <r>
    <x v="16"/>
    <x v="2"/>
    <x v="86"/>
    <x v="129"/>
    <x v="51"/>
    <x v="6"/>
    <x v="9"/>
    <x v="13"/>
    <x v="3"/>
    <x v="38"/>
    <x v="9"/>
  </r>
  <r>
    <x v="16"/>
    <x v="2"/>
    <x v="119"/>
    <x v="129"/>
    <x v="51"/>
    <x v="6"/>
    <x v="4"/>
    <x v="12"/>
    <x v="3"/>
    <x v="38"/>
    <x v="4"/>
  </r>
  <r>
    <x v="16"/>
    <x v="2"/>
    <x v="131"/>
    <x v="70"/>
    <x v="45"/>
    <x v="3"/>
    <x v="4"/>
    <x v="8"/>
    <x v="0"/>
    <x v="23"/>
    <x v="4"/>
  </r>
  <r>
    <x v="16"/>
    <x v="2"/>
    <x v="0"/>
    <x v="49"/>
    <x v="18"/>
    <x v="3"/>
    <x v="4"/>
    <x v="8"/>
    <x v="0"/>
    <x v="45"/>
    <x v="4"/>
  </r>
  <r>
    <x v="16"/>
    <x v="2"/>
    <x v="100"/>
    <x v="96"/>
    <x v="49"/>
    <x v="2"/>
    <x v="8"/>
    <x v="8"/>
    <x v="0"/>
    <x v="24"/>
    <x v="8"/>
  </r>
  <r>
    <x v="16"/>
    <x v="2"/>
    <x v="100"/>
    <x v="96"/>
    <x v="49"/>
    <x v="2"/>
    <x v="8"/>
    <x v="8"/>
    <x v="0"/>
    <x v="24"/>
    <x v="8"/>
  </r>
  <r>
    <x v="16"/>
    <x v="2"/>
    <x v="104"/>
    <x v="45"/>
    <x v="5"/>
    <x v="4"/>
    <x v="35"/>
    <x v="8"/>
    <x v="0"/>
    <x v="26"/>
    <x v="29"/>
  </r>
  <r>
    <x v="16"/>
    <x v="2"/>
    <x v="103"/>
    <x v="89"/>
    <x v="38"/>
    <x v="3"/>
    <x v="4"/>
    <x v="6"/>
    <x v="3"/>
    <x v="45"/>
    <x v="4"/>
  </r>
  <r>
    <x v="16"/>
    <x v="2"/>
    <x v="64"/>
    <x v="4"/>
    <x v="22"/>
    <x v="2"/>
    <x v="8"/>
    <x v="6"/>
    <x v="3"/>
    <x v="45"/>
    <x v="8"/>
  </r>
  <r>
    <x v="16"/>
    <x v="2"/>
    <x v="99"/>
    <x v="99"/>
    <x v="42"/>
    <x v="3"/>
    <x v="12"/>
    <x v="10"/>
    <x v="0"/>
    <x v="33"/>
    <x v="11"/>
  </r>
  <r>
    <x v="16"/>
    <x v="2"/>
    <x v="104"/>
    <x v="45"/>
    <x v="5"/>
    <x v="4"/>
    <x v="128"/>
    <x v="26"/>
    <x v="0"/>
    <x v="26"/>
    <x v="108"/>
  </r>
  <r>
    <x v="16"/>
    <x v="2"/>
    <x v="104"/>
    <x v="45"/>
    <x v="5"/>
    <x v="4"/>
    <x v="64"/>
    <x v="25"/>
    <x v="0"/>
    <x v="26"/>
    <x v="53"/>
  </r>
  <r>
    <x v="16"/>
    <x v="2"/>
    <x v="40"/>
    <x v="36"/>
    <x v="17"/>
    <x v="3"/>
    <x v="4"/>
    <x v="8"/>
    <x v="3"/>
    <x v="39"/>
    <x v="4"/>
  </r>
  <r>
    <x v="16"/>
    <x v="2"/>
    <x v="6"/>
    <x v="53"/>
    <x v="33"/>
    <x v="3"/>
    <x v="4"/>
    <x v="6"/>
    <x v="2"/>
    <x v="45"/>
    <x v="4"/>
  </r>
  <r>
    <x v="16"/>
    <x v="2"/>
    <x v="99"/>
    <x v="99"/>
    <x v="42"/>
    <x v="3"/>
    <x v="4"/>
    <x v="6"/>
    <x v="0"/>
    <x v="33"/>
    <x v="4"/>
  </r>
  <r>
    <x v="16"/>
    <x v="2"/>
    <x v="48"/>
    <x v="129"/>
    <x v="1"/>
    <x v="3"/>
    <x v="24"/>
    <x v="13"/>
    <x v="3"/>
    <x v="45"/>
    <x v="20"/>
  </r>
  <r>
    <x v="16"/>
    <x v="2"/>
    <x v="24"/>
    <x v="26"/>
    <x v="41"/>
    <x v="2"/>
    <x v="10"/>
    <x v="10"/>
    <x v="0"/>
    <x v="33"/>
    <x v="10"/>
  </r>
  <r>
    <x v="16"/>
    <x v="2"/>
    <x v="78"/>
    <x v="129"/>
    <x v="31"/>
    <x v="6"/>
    <x v="4"/>
    <x v="10"/>
    <x v="2"/>
    <x v="37"/>
    <x v="4"/>
  </r>
  <r>
    <x v="16"/>
    <x v="2"/>
    <x v="89"/>
    <x v="68"/>
    <x v="20"/>
    <x v="3"/>
    <x v="8"/>
    <x v="12"/>
    <x v="3"/>
    <x v="45"/>
    <x v="8"/>
  </r>
  <r>
    <x v="16"/>
    <x v="2"/>
    <x v="95"/>
    <x v="9"/>
    <x v="31"/>
    <x v="3"/>
    <x v="9"/>
    <x v="10"/>
    <x v="3"/>
    <x v="45"/>
    <x v="9"/>
  </r>
  <r>
    <x v="16"/>
    <x v="2"/>
    <x v="130"/>
    <x v="82"/>
    <x v="24"/>
    <x v="3"/>
    <x v="22"/>
    <x v="15"/>
    <x v="0"/>
    <x v="45"/>
    <x v="19"/>
  </r>
  <r>
    <x v="16"/>
    <x v="2"/>
    <x v="104"/>
    <x v="45"/>
    <x v="5"/>
    <x v="4"/>
    <x v="57"/>
    <x v="8"/>
    <x v="0"/>
    <x v="26"/>
    <x v="48"/>
  </r>
  <r>
    <x v="16"/>
    <x v="2"/>
    <x v="130"/>
    <x v="82"/>
    <x v="24"/>
    <x v="3"/>
    <x v="4"/>
    <x v="1"/>
    <x v="3"/>
    <x v="45"/>
    <x v="4"/>
  </r>
  <r>
    <x v="16"/>
    <x v="2"/>
    <x v="119"/>
    <x v="128"/>
    <x v="43"/>
    <x v="2"/>
    <x v="8"/>
    <x v="12"/>
    <x v="3"/>
    <x v="38"/>
    <x v="8"/>
  </r>
  <r>
    <x v="16"/>
    <x v="2"/>
    <x v="55"/>
    <x v="107"/>
    <x v="13"/>
    <x v="2"/>
    <x v="5"/>
    <x v="8"/>
    <x v="0"/>
    <x v="45"/>
    <x v="6"/>
  </r>
  <r>
    <x v="16"/>
    <x v="2"/>
    <x v="131"/>
    <x v="70"/>
    <x v="45"/>
    <x v="3"/>
    <x v="4"/>
    <x v="10"/>
    <x v="3"/>
    <x v="23"/>
    <x v="4"/>
  </r>
  <r>
    <x v="16"/>
    <x v="2"/>
    <x v="86"/>
    <x v="129"/>
    <x v="51"/>
    <x v="6"/>
    <x v="14"/>
    <x v="13"/>
    <x v="0"/>
    <x v="38"/>
    <x v="13"/>
  </r>
  <r>
    <x v="16"/>
    <x v="2"/>
    <x v="78"/>
    <x v="2"/>
    <x v="31"/>
    <x v="2"/>
    <x v="18"/>
    <x v="13"/>
    <x v="3"/>
    <x v="37"/>
    <x v="16"/>
  </r>
  <r>
    <x v="16"/>
    <x v="2"/>
    <x v="57"/>
    <x v="44"/>
    <x v="5"/>
    <x v="2"/>
    <x v="30"/>
    <x v="14"/>
    <x v="0"/>
    <x v="26"/>
    <x v="25"/>
  </r>
  <r>
    <x v="16"/>
    <x v="2"/>
    <x v="124"/>
    <x v="84"/>
    <x v="36"/>
    <x v="2"/>
    <x v="14"/>
    <x v="14"/>
    <x v="0"/>
    <x v="26"/>
    <x v="13"/>
  </r>
  <r>
    <x v="16"/>
    <x v="2"/>
    <x v="74"/>
    <x v="129"/>
    <x v="51"/>
    <x v="6"/>
    <x v="8"/>
    <x v="12"/>
    <x v="3"/>
    <x v="33"/>
    <x v="8"/>
  </r>
  <r>
    <x v="16"/>
    <x v="2"/>
    <x v="124"/>
    <x v="84"/>
    <x v="36"/>
    <x v="2"/>
    <x v="12"/>
    <x v="12"/>
    <x v="0"/>
    <x v="26"/>
    <x v="11"/>
  </r>
  <r>
    <x v="16"/>
    <x v="2"/>
    <x v="122"/>
    <x v="76"/>
    <x v="27"/>
    <x v="3"/>
    <x v="4"/>
    <x v="10"/>
    <x v="0"/>
    <x v="33"/>
    <x v="4"/>
  </r>
  <r>
    <x v="16"/>
    <x v="2"/>
    <x v="57"/>
    <x v="44"/>
    <x v="5"/>
    <x v="2"/>
    <x v="21"/>
    <x v="13"/>
    <x v="0"/>
    <x v="33"/>
    <x v="18"/>
  </r>
  <r>
    <x v="16"/>
    <x v="2"/>
    <x v="95"/>
    <x v="9"/>
    <x v="31"/>
    <x v="3"/>
    <x v="4"/>
    <x v="12"/>
    <x v="3"/>
    <x v="45"/>
    <x v="4"/>
  </r>
  <r>
    <x v="16"/>
    <x v="2"/>
    <x v="27"/>
    <x v="52"/>
    <x v="19"/>
    <x v="2"/>
    <x v="10"/>
    <x v="10"/>
    <x v="0"/>
    <x v="33"/>
    <x v="10"/>
  </r>
  <r>
    <x v="16"/>
    <x v="2"/>
    <x v="74"/>
    <x v="129"/>
    <x v="51"/>
    <x v="6"/>
    <x v="96"/>
    <x v="24"/>
    <x v="0"/>
    <x v="33"/>
    <x v="78"/>
  </r>
  <r>
    <x v="16"/>
    <x v="2"/>
    <x v="30"/>
    <x v="40"/>
    <x v="6"/>
    <x v="2"/>
    <x v="21"/>
    <x v="12"/>
    <x v="0"/>
    <x v="14"/>
    <x v="18"/>
  </r>
  <r>
    <x v="16"/>
    <x v="2"/>
    <x v="30"/>
    <x v="40"/>
    <x v="6"/>
    <x v="2"/>
    <x v="8"/>
    <x v="8"/>
    <x v="0"/>
    <x v="14"/>
    <x v="8"/>
  </r>
  <r>
    <x v="16"/>
    <x v="2"/>
    <x v="0"/>
    <x v="63"/>
    <x v="26"/>
    <x v="3"/>
    <x v="4"/>
    <x v="8"/>
    <x v="3"/>
    <x v="45"/>
    <x v="4"/>
  </r>
  <r>
    <x v="16"/>
    <x v="2"/>
    <x v="104"/>
    <x v="45"/>
    <x v="5"/>
    <x v="4"/>
    <x v="88"/>
    <x v="24"/>
    <x v="0"/>
    <x v="26"/>
    <x v="72"/>
  </r>
  <r>
    <x v="16"/>
    <x v="2"/>
    <x v="19"/>
    <x v="128"/>
    <x v="43"/>
    <x v="2"/>
    <x v="8"/>
    <x v="10"/>
    <x v="0"/>
    <x v="2"/>
    <x v="8"/>
  </r>
  <r>
    <x v="16"/>
    <x v="2"/>
    <x v="40"/>
    <x v="36"/>
    <x v="17"/>
    <x v="3"/>
    <x v="10"/>
    <x v="12"/>
    <x v="3"/>
    <x v="39"/>
    <x v="10"/>
  </r>
  <r>
    <x v="16"/>
    <x v="2"/>
    <x v="130"/>
    <x v="82"/>
    <x v="24"/>
    <x v="3"/>
    <x v="141"/>
    <x v="26"/>
    <x v="0"/>
    <x v="45"/>
    <x v="118"/>
  </r>
  <r>
    <x v="17"/>
    <x v="2"/>
    <x v="30"/>
    <x v="40"/>
    <x v="6"/>
    <x v="2"/>
    <x v="12"/>
    <x v="13"/>
    <x v="0"/>
    <x v="14"/>
    <x v="11"/>
  </r>
  <r>
    <x v="17"/>
    <x v="2"/>
    <x v="30"/>
    <x v="40"/>
    <x v="6"/>
    <x v="2"/>
    <x v="31"/>
    <x v="16"/>
    <x v="0"/>
    <x v="14"/>
    <x v="26"/>
  </r>
  <r>
    <x v="17"/>
    <x v="2"/>
    <x v="110"/>
    <x v="78"/>
    <x v="12"/>
    <x v="2"/>
    <x v="9"/>
    <x v="14"/>
    <x v="3"/>
    <x v="39"/>
    <x v="9"/>
  </r>
  <r>
    <x v="17"/>
    <x v="2"/>
    <x v="104"/>
    <x v="45"/>
    <x v="5"/>
    <x v="4"/>
    <x v="108"/>
    <x v="23"/>
    <x v="0"/>
    <x v="26"/>
    <x v="89"/>
  </r>
  <r>
    <x v="17"/>
    <x v="2"/>
    <x v="122"/>
    <x v="76"/>
    <x v="27"/>
    <x v="3"/>
    <x v="12"/>
    <x v="12"/>
    <x v="0"/>
    <x v="33"/>
    <x v="11"/>
  </r>
  <r>
    <x v="17"/>
    <x v="2"/>
    <x v="122"/>
    <x v="76"/>
    <x v="27"/>
    <x v="3"/>
    <x v="4"/>
    <x v="3"/>
    <x v="0"/>
    <x v="33"/>
    <x v="4"/>
  </r>
  <r>
    <x v="17"/>
    <x v="2"/>
    <x v="95"/>
    <x v="7"/>
    <x v="20"/>
    <x v="2"/>
    <x v="4"/>
    <x v="3"/>
    <x v="0"/>
    <x v="45"/>
    <x v="4"/>
  </r>
  <r>
    <x v="17"/>
    <x v="2"/>
    <x v="140"/>
    <x v="99"/>
    <x v="42"/>
    <x v="3"/>
    <x v="9"/>
    <x v="12"/>
    <x v="3"/>
    <x v="3"/>
    <x v="9"/>
  </r>
  <r>
    <x v="17"/>
    <x v="2"/>
    <x v="119"/>
    <x v="128"/>
    <x v="43"/>
    <x v="2"/>
    <x v="14"/>
    <x v="13"/>
    <x v="2"/>
    <x v="38"/>
    <x v="13"/>
  </r>
  <r>
    <x v="17"/>
    <x v="2"/>
    <x v="40"/>
    <x v="36"/>
    <x v="17"/>
    <x v="3"/>
    <x v="4"/>
    <x v="10"/>
    <x v="3"/>
    <x v="39"/>
    <x v="4"/>
  </r>
  <r>
    <x v="17"/>
    <x v="2"/>
    <x v="124"/>
    <x v="84"/>
    <x v="36"/>
    <x v="2"/>
    <x v="8"/>
    <x v="1"/>
    <x v="0"/>
    <x v="26"/>
    <x v="8"/>
  </r>
  <r>
    <x v="17"/>
    <x v="2"/>
    <x v="14"/>
    <x v="114"/>
    <x v="42"/>
    <x v="3"/>
    <x v="4"/>
    <x v="6"/>
    <x v="0"/>
    <x v="45"/>
    <x v="4"/>
  </r>
  <r>
    <x v="17"/>
    <x v="2"/>
    <x v="95"/>
    <x v="7"/>
    <x v="20"/>
    <x v="2"/>
    <x v="12"/>
    <x v="12"/>
    <x v="3"/>
    <x v="45"/>
    <x v="11"/>
  </r>
  <r>
    <x v="17"/>
    <x v="2"/>
    <x v="44"/>
    <x v="129"/>
    <x v="51"/>
    <x v="6"/>
    <x v="26"/>
    <x v="13"/>
    <x v="3"/>
    <x v="45"/>
    <x v="22"/>
  </r>
  <r>
    <x v="17"/>
    <x v="2"/>
    <x v="95"/>
    <x v="7"/>
    <x v="20"/>
    <x v="2"/>
    <x v="13"/>
    <x v="10"/>
    <x v="0"/>
    <x v="45"/>
    <x v="12"/>
  </r>
  <r>
    <x v="17"/>
    <x v="2"/>
    <x v="95"/>
    <x v="7"/>
    <x v="20"/>
    <x v="2"/>
    <x v="29"/>
    <x v="14"/>
    <x v="0"/>
    <x v="45"/>
    <x v="24"/>
  </r>
  <r>
    <x v="17"/>
    <x v="2"/>
    <x v="6"/>
    <x v="50"/>
    <x v="12"/>
    <x v="3"/>
    <x v="12"/>
    <x v="12"/>
    <x v="0"/>
    <x v="45"/>
    <x v="11"/>
  </r>
  <r>
    <x v="17"/>
    <x v="2"/>
    <x v="122"/>
    <x v="76"/>
    <x v="27"/>
    <x v="3"/>
    <x v="14"/>
    <x v="13"/>
    <x v="0"/>
    <x v="33"/>
    <x v="13"/>
  </r>
  <r>
    <x v="17"/>
    <x v="2"/>
    <x v="122"/>
    <x v="76"/>
    <x v="27"/>
    <x v="3"/>
    <x v="8"/>
    <x v="10"/>
    <x v="0"/>
    <x v="33"/>
    <x v="8"/>
  </r>
  <r>
    <x v="17"/>
    <x v="2"/>
    <x v="122"/>
    <x v="76"/>
    <x v="27"/>
    <x v="3"/>
    <x v="17"/>
    <x v="13"/>
    <x v="0"/>
    <x v="33"/>
    <x v="15"/>
  </r>
  <r>
    <x v="17"/>
    <x v="2"/>
    <x v="86"/>
    <x v="129"/>
    <x v="51"/>
    <x v="6"/>
    <x v="9"/>
    <x v="12"/>
    <x v="2"/>
    <x v="38"/>
    <x v="9"/>
  </r>
  <r>
    <x v="17"/>
    <x v="2"/>
    <x v="55"/>
    <x v="129"/>
    <x v="13"/>
    <x v="3"/>
    <x v="17"/>
    <x v="13"/>
    <x v="3"/>
    <x v="45"/>
    <x v="15"/>
  </r>
  <r>
    <x v="17"/>
    <x v="2"/>
    <x v="78"/>
    <x v="129"/>
    <x v="31"/>
    <x v="3"/>
    <x v="31"/>
    <x v="14"/>
    <x v="3"/>
    <x v="37"/>
    <x v="26"/>
  </r>
  <r>
    <x v="17"/>
    <x v="2"/>
    <x v="93"/>
    <x v="74"/>
    <x v="32"/>
    <x v="2"/>
    <x v="48"/>
    <x v="16"/>
    <x v="0"/>
    <x v="45"/>
    <x v="40"/>
  </r>
  <r>
    <x v="17"/>
    <x v="2"/>
    <x v="30"/>
    <x v="40"/>
    <x v="6"/>
    <x v="2"/>
    <x v="4"/>
    <x v="8"/>
    <x v="0"/>
    <x v="14"/>
    <x v="4"/>
  </r>
  <r>
    <x v="17"/>
    <x v="2"/>
    <x v="30"/>
    <x v="40"/>
    <x v="6"/>
    <x v="2"/>
    <x v="4"/>
    <x v="8"/>
    <x v="0"/>
    <x v="14"/>
    <x v="4"/>
  </r>
  <r>
    <x v="17"/>
    <x v="2"/>
    <x v="71"/>
    <x v="76"/>
    <x v="27"/>
    <x v="3"/>
    <x v="12"/>
    <x v="8"/>
    <x v="0"/>
    <x v="33"/>
    <x v="11"/>
  </r>
  <r>
    <x v="17"/>
    <x v="2"/>
    <x v="104"/>
    <x v="48"/>
    <x v="5"/>
    <x v="3"/>
    <x v="115"/>
    <x v="22"/>
    <x v="0"/>
    <x v="26"/>
    <x v="96"/>
  </r>
  <r>
    <x v="17"/>
    <x v="2"/>
    <x v="95"/>
    <x v="129"/>
    <x v="51"/>
    <x v="6"/>
    <x v="17"/>
    <x v="13"/>
    <x v="0"/>
    <x v="45"/>
    <x v="15"/>
  </r>
  <r>
    <x v="17"/>
    <x v="2"/>
    <x v="102"/>
    <x v="129"/>
    <x v="51"/>
    <x v="6"/>
    <x v="13"/>
    <x v="14"/>
    <x v="0"/>
    <x v="33"/>
    <x v="12"/>
  </r>
  <r>
    <x v="17"/>
    <x v="2"/>
    <x v="64"/>
    <x v="122"/>
    <x v="3"/>
    <x v="2"/>
    <x v="8"/>
    <x v="8"/>
    <x v="0"/>
    <x v="45"/>
    <x v="8"/>
  </r>
  <r>
    <x v="17"/>
    <x v="2"/>
    <x v="74"/>
    <x v="129"/>
    <x v="51"/>
    <x v="6"/>
    <x v="4"/>
    <x v="10"/>
    <x v="2"/>
    <x v="33"/>
    <x v="4"/>
  </r>
  <r>
    <x v="17"/>
    <x v="2"/>
    <x v="78"/>
    <x v="129"/>
    <x v="31"/>
    <x v="6"/>
    <x v="18"/>
    <x v="13"/>
    <x v="3"/>
    <x v="37"/>
    <x v="16"/>
  </r>
  <r>
    <x v="17"/>
    <x v="2"/>
    <x v="103"/>
    <x v="129"/>
    <x v="51"/>
    <x v="6"/>
    <x v="9"/>
    <x v="12"/>
    <x v="3"/>
    <x v="33"/>
    <x v="9"/>
  </r>
  <r>
    <x v="17"/>
    <x v="2"/>
    <x v="119"/>
    <x v="129"/>
    <x v="51"/>
    <x v="6"/>
    <x v="4"/>
    <x v="10"/>
    <x v="2"/>
    <x v="38"/>
    <x v="4"/>
  </r>
  <r>
    <x v="17"/>
    <x v="2"/>
    <x v="57"/>
    <x v="44"/>
    <x v="5"/>
    <x v="2"/>
    <x v="39"/>
    <x v="16"/>
    <x v="0"/>
    <x v="26"/>
    <x v="32"/>
  </r>
  <r>
    <x v="17"/>
    <x v="2"/>
    <x v="95"/>
    <x v="129"/>
    <x v="51"/>
    <x v="6"/>
    <x v="16"/>
    <x v="14"/>
    <x v="3"/>
    <x v="45"/>
    <x v="14"/>
  </r>
  <r>
    <x v="17"/>
    <x v="2"/>
    <x v="74"/>
    <x v="129"/>
    <x v="31"/>
    <x v="3"/>
    <x v="8"/>
    <x v="10"/>
    <x v="3"/>
    <x v="33"/>
    <x v="8"/>
  </r>
  <r>
    <x v="17"/>
    <x v="2"/>
    <x v="40"/>
    <x v="129"/>
    <x v="51"/>
    <x v="6"/>
    <x v="16"/>
    <x v="14"/>
    <x v="5"/>
    <x v="33"/>
    <x v="14"/>
  </r>
  <r>
    <x v="17"/>
    <x v="2"/>
    <x v="41"/>
    <x v="129"/>
    <x v="45"/>
    <x v="3"/>
    <x v="4"/>
    <x v="8"/>
    <x v="0"/>
    <x v="26"/>
    <x v="4"/>
  </r>
  <r>
    <x v="17"/>
    <x v="2"/>
    <x v="122"/>
    <x v="76"/>
    <x v="27"/>
    <x v="3"/>
    <x v="4"/>
    <x v="12"/>
    <x v="3"/>
    <x v="33"/>
    <x v="4"/>
  </r>
  <r>
    <x v="17"/>
    <x v="2"/>
    <x v="95"/>
    <x v="76"/>
    <x v="27"/>
    <x v="3"/>
    <x v="4"/>
    <x v="8"/>
    <x v="0"/>
    <x v="45"/>
    <x v="4"/>
  </r>
  <r>
    <x v="17"/>
    <x v="2"/>
    <x v="0"/>
    <x v="36"/>
    <x v="17"/>
    <x v="3"/>
    <x v="4"/>
    <x v="10"/>
    <x v="2"/>
    <x v="45"/>
    <x v="4"/>
  </r>
  <r>
    <x v="17"/>
    <x v="2"/>
    <x v="95"/>
    <x v="65"/>
    <x v="26"/>
    <x v="3"/>
    <x v="8"/>
    <x v="10"/>
    <x v="3"/>
    <x v="45"/>
    <x v="8"/>
  </r>
  <r>
    <x v="17"/>
    <x v="2"/>
    <x v="30"/>
    <x v="40"/>
    <x v="6"/>
    <x v="2"/>
    <x v="33"/>
    <x v="13"/>
    <x v="0"/>
    <x v="14"/>
    <x v="27"/>
  </r>
  <r>
    <x v="17"/>
    <x v="2"/>
    <x v="40"/>
    <x v="36"/>
    <x v="17"/>
    <x v="3"/>
    <x v="33"/>
    <x v="16"/>
    <x v="0"/>
    <x v="39"/>
    <x v="27"/>
  </r>
  <r>
    <x v="17"/>
    <x v="2"/>
    <x v="40"/>
    <x v="36"/>
    <x v="17"/>
    <x v="3"/>
    <x v="13"/>
    <x v="14"/>
    <x v="0"/>
    <x v="39"/>
    <x v="12"/>
  </r>
  <r>
    <x v="17"/>
    <x v="2"/>
    <x v="122"/>
    <x v="129"/>
    <x v="51"/>
    <x v="6"/>
    <x v="4"/>
    <x v="10"/>
    <x v="3"/>
    <x v="33"/>
    <x v="4"/>
  </r>
  <r>
    <x v="18"/>
    <x v="2"/>
    <x v="108"/>
    <x v="125"/>
    <x v="37"/>
    <x v="5"/>
    <x v="12"/>
    <x v="8"/>
    <x v="0"/>
    <x v="33"/>
    <x v="11"/>
  </r>
  <r>
    <x v="18"/>
    <x v="2"/>
    <x v="108"/>
    <x v="125"/>
    <x v="37"/>
    <x v="5"/>
    <x v="8"/>
    <x v="3"/>
    <x v="0"/>
    <x v="33"/>
    <x v="8"/>
  </r>
  <r>
    <x v="18"/>
    <x v="2"/>
    <x v="119"/>
    <x v="7"/>
    <x v="20"/>
    <x v="2"/>
    <x v="4"/>
    <x v="6"/>
    <x v="2"/>
    <x v="38"/>
    <x v="4"/>
  </r>
  <r>
    <x v="18"/>
    <x v="2"/>
    <x v="19"/>
    <x v="4"/>
    <x v="22"/>
    <x v="2"/>
    <x v="21"/>
    <x v="13"/>
    <x v="0"/>
    <x v="2"/>
    <x v="18"/>
  </r>
  <r>
    <x v="18"/>
    <x v="2"/>
    <x v="30"/>
    <x v="40"/>
    <x v="6"/>
    <x v="2"/>
    <x v="4"/>
    <x v="6"/>
    <x v="0"/>
    <x v="14"/>
    <x v="4"/>
  </r>
  <r>
    <x v="18"/>
    <x v="2"/>
    <x v="126"/>
    <x v="18"/>
    <x v="42"/>
    <x v="3"/>
    <x v="4"/>
    <x v="6"/>
    <x v="0"/>
    <x v="33"/>
    <x v="4"/>
  </r>
  <r>
    <x v="18"/>
    <x v="2"/>
    <x v="126"/>
    <x v="18"/>
    <x v="42"/>
    <x v="3"/>
    <x v="4"/>
    <x v="6"/>
    <x v="0"/>
    <x v="33"/>
    <x v="4"/>
  </r>
  <r>
    <x v="18"/>
    <x v="2"/>
    <x v="126"/>
    <x v="18"/>
    <x v="42"/>
    <x v="3"/>
    <x v="4"/>
    <x v="6"/>
    <x v="0"/>
    <x v="33"/>
    <x v="4"/>
  </r>
  <r>
    <x v="18"/>
    <x v="2"/>
    <x v="108"/>
    <x v="76"/>
    <x v="27"/>
    <x v="3"/>
    <x v="10"/>
    <x v="8"/>
    <x v="0"/>
    <x v="33"/>
    <x v="10"/>
  </r>
  <r>
    <x v="18"/>
    <x v="2"/>
    <x v="108"/>
    <x v="76"/>
    <x v="27"/>
    <x v="3"/>
    <x v="9"/>
    <x v="6"/>
    <x v="0"/>
    <x v="33"/>
    <x v="9"/>
  </r>
  <r>
    <x v="18"/>
    <x v="2"/>
    <x v="108"/>
    <x v="76"/>
    <x v="27"/>
    <x v="3"/>
    <x v="4"/>
    <x v="3"/>
    <x v="0"/>
    <x v="33"/>
    <x v="4"/>
  </r>
  <r>
    <x v="18"/>
    <x v="2"/>
    <x v="71"/>
    <x v="15"/>
    <x v="34"/>
    <x v="2"/>
    <x v="4"/>
    <x v="6"/>
    <x v="0"/>
    <x v="33"/>
    <x v="4"/>
  </r>
  <r>
    <x v="18"/>
    <x v="2"/>
    <x v="30"/>
    <x v="40"/>
    <x v="6"/>
    <x v="2"/>
    <x v="17"/>
    <x v="12"/>
    <x v="0"/>
    <x v="14"/>
    <x v="15"/>
  </r>
  <r>
    <x v="18"/>
    <x v="2"/>
    <x v="20"/>
    <x v="8"/>
    <x v="2"/>
    <x v="2"/>
    <x v="16"/>
    <x v="10"/>
    <x v="3"/>
    <x v="33"/>
    <x v="14"/>
  </r>
  <r>
    <x v="18"/>
    <x v="2"/>
    <x v="140"/>
    <x v="99"/>
    <x v="42"/>
    <x v="3"/>
    <x v="5"/>
    <x v="8"/>
    <x v="0"/>
    <x v="3"/>
    <x v="6"/>
  </r>
  <r>
    <x v="18"/>
    <x v="2"/>
    <x v="104"/>
    <x v="45"/>
    <x v="5"/>
    <x v="4"/>
    <x v="112"/>
    <x v="20"/>
    <x v="0"/>
    <x v="26"/>
    <x v="93"/>
  </r>
  <r>
    <x v="18"/>
    <x v="2"/>
    <x v="14"/>
    <x v="129"/>
    <x v="51"/>
    <x v="6"/>
    <x v="27"/>
    <x v="13"/>
    <x v="3"/>
    <x v="45"/>
    <x v="23"/>
  </r>
  <r>
    <x v="18"/>
    <x v="2"/>
    <x v="54"/>
    <x v="129"/>
    <x v="42"/>
    <x v="3"/>
    <x v="5"/>
    <x v="8"/>
    <x v="2"/>
    <x v="45"/>
    <x v="6"/>
  </r>
  <r>
    <x v="18"/>
    <x v="2"/>
    <x v="41"/>
    <x v="129"/>
    <x v="51"/>
    <x v="6"/>
    <x v="9"/>
    <x v="10"/>
    <x v="2"/>
    <x v="33"/>
    <x v="9"/>
  </r>
  <r>
    <x v="18"/>
    <x v="2"/>
    <x v="108"/>
    <x v="125"/>
    <x v="37"/>
    <x v="5"/>
    <x v="9"/>
    <x v="6"/>
    <x v="0"/>
    <x v="33"/>
    <x v="9"/>
  </r>
  <r>
    <x v="18"/>
    <x v="2"/>
    <x v="71"/>
    <x v="15"/>
    <x v="34"/>
    <x v="2"/>
    <x v="10"/>
    <x v="10"/>
    <x v="0"/>
    <x v="33"/>
    <x v="10"/>
  </r>
  <r>
    <x v="18"/>
    <x v="2"/>
    <x v="71"/>
    <x v="15"/>
    <x v="34"/>
    <x v="2"/>
    <x v="9"/>
    <x v="10"/>
    <x v="0"/>
    <x v="33"/>
    <x v="9"/>
  </r>
  <r>
    <x v="18"/>
    <x v="2"/>
    <x v="30"/>
    <x v="40"/>
    <x v="6"/>
    <x v="2"/>
    <x v="14"/>
    <x v="8"/>
    <x v="0"/>
    <x v="14"/>
    <x v="13"/>
  </r>
  <r>
    <x v="18"/>
    <x v="2"/>
    <x v="30"/>
    <x v="40"/>
    <x v="6"/>
    <x v="2"/>
    <x v="10"/>
    <x v="8"/>
    <x v="0"/>
    <x v="14"/>
    <x v="10"/>
  </r>
  <r>
    <x v="18"/>
    <x v="2"/>
    <x v="30"/>
    <x v="40"/>
    <x v="6"/>
    <x v="2"/>
    <x v="4"/>
    <x v="8"/>
    <x v="0"/>
    <x v="14"/>
    <x v="4"/>
  </r>
  <r>
    <x v="18"/>
    <x v="2"/>
    <x v="119"/>
    <x v="25"/>
    <x v="8"/>
    <x v="3"/>
    <x v="8"/>
    <x v="10"/>
    <x v="0"/>
    <x v="38"/>
    <x v="8"/>
  </r>
  <r>
    <x v="18"/>
    <x v="2"/>
    <x v="30"/>
    <x v="40"/>
    <x v="6"/>
    <x v="2"/>
    <x v="14"/>
    <x v="12"/>
    <x v="0"/>
    <x v="14"/>
    <x v="13"/>
  </r>
  <r>
    <x v="18"/>
    <x v="2"/>
    <x v="108"/>
    <x v="125"/>
    <x v="37"/>
    <x v="5"/>
    <x v="4"/>
    <x v="3"/>
    <x v="0"/>
    <x v="33"/>
    <x v="4"/>
  </r>
  <r>
    <x v="18"/>
    <x v="2"/>
    <x v="108"/>
    <x v="125"/>
    <x v="37"/>
    <x v="5"/>
    <x v="8"/>
    <x v="3"/>
    <x v="0"/>
    <x v="33"/>
    <x v="8"/>
  </r>
  <r>
    <x v="18"/>
    <x v="2"/>
    <x v="54"/>
    <x v="108"/>
    <x v="13"/>
    <x v="3"/>
    <x v="73"/>
    <x v="18"/>
    <x v="0"/>
    <x v="45"/>
    <x v="59"/>
  </r>
  <r>
    <x v="18"/>
    <x v="2"/>
    <x v="104"/>
    <x v="48"/>
    <x v="5"/>
    <x v="3"/>
    <x v="56"/>
    <x v="18"/>
    <x v="0"/>
    <x v="26"/>
    <x v="46"/>
  </r>
  <r>
    <x v="18"/>
    <x v="2"/>
    <x v="108"/>
    <x v="125"/>
    <x v="37"/>
    <x v="5"/>
    <x v="8"/>
    <x v="6"/>
    <x v="0"/>
    <x v="33"/>
    <x v="8"/>
  </r>
  <r>
    <x v="18"/>
    <x v="2"/>
    <x v="78"/>
    <x v="93"/>
    <x v="12"/>
    <x v="2"/>
    <x v="60"/>
    <x v="14"/>
    <x v="0"/>
    <x v="37"/>
    <x v="50"/>
  </r>
  <r>
    <x v="18"/>
    <x v="2"/>
    <x v="30"/>
    <x v="40"/>
    <x v="6"/>
    <x v="2"/>
    <x v="4"/>
    <x v="8"/>
    <x v="0"/>
    <x v="14"/>
    <x v="4"/>
  </r>
  <r>
    <x v="18"/>
    <x v="2"/>
    <x v="108"/>
    <x v="36"/>
    <x v="17"/>
    <x v="3"/>
    <x v="5"/>
    <x v="12"/>
    <x v="3"/>
    <x v="33"/>
    <x v="6"/>
  </r>
  <r>
    <x v="18"/>
    <x v="2"/>
    <x v="6"/>
    <x v="129"/>
    <x v="51"/>
    <x v="6"/>
    <x v="5"/>
    <x v="12"/>
    <x v="3"/>
    <x v="45"/>
    <x v="6"/>
  </r>
  <r>
    <x v="18"/>
    <x v="2"/>
    <x v="126"/>
    <x v="18"/>
    <x v="42"/>
    <x v="3"/>
    <x v="4"/>
    <x v="10"/>
    <x v="3"/>
    <x v="33"/>
    <x v="4"/>
  </r>
  <r>
    <x v="18"/>
    <x v="2"/>
    <x v="126"/>
    <x v="18"/>
    <x v="42"/>
    <x v="3"/>
    <x v="4"/>
    <x v="10"/>
    <x v="0"/>
    <x v="33"/>
    <x v="4"/>
  </r>
  <r>
    <x v="18"/>
    <x v="2"/>
    <x v="126"/>
    <x v="18"/>
    <x v="42"/>
    <x v="3"/>
    <x v="4"/>
    <x v="10"/>
    <x v="0"/>
    <x v="33"/>
    <x v="4"/>
  </r>
  <r>
    <x v="18"/>
    <x v="2"/>
    <x v="126"/>
    <x v="18"/>
    <x v="42"/>
    <x v="3"/>
    <x v="4"/>
    <x v="10"/>
    <x v="0"/>
    <x v="33"/>
    <x v="4"/>
  </r>
  <r>
    <x v="18"/>
    <x v="2"/>
    <x v="30"/>
    <x v="40"/>
    <x v="6"/>
    <x v="2"/>
    <x v="39"/>
    <x v="13"/>
    <x v="0"/>
    <x v="14"/>
    <x v="32"/>
  </r>
  <r>
    <x v="18"/>
    <x v="2"/>
    <x v="113"/>
    <x v="10"/>
    <x v="0"/>
    <x v="2"/>
    <x v="17"/>
    <x v="10"/>
    <x v="0"/>
    <x v="45"/>
    <x v="15"/>
  </r>
  <r>
    <x v="18"/>
    <x v="2"/>
    <x v="108"/>
    <x v="77"/>
    <x v="33"/>
    <x v="3"/>
    <x v="10"/>
    <x v="10"/>
    <x v="0"/>
    <x v="33"/>
    <x v="10"/>
  </r>
  <r>
    <x v="18"/>
    <x v="2"/>
    <x v="102"/>
    <x v="129"/>
    <x v="51"/>
    <x v="6"/>
    <x v="21"/>
    <x v="13"/>
    <x v="0"/>
    <x v="33"/>
    <x v="18"/>
  </r>
  <r>
    <x v="18"/>
    <x v="2"/>
    <x v="30"/>
    <x v="40"/>
    <x v="6"/>
    <x v="2"/>
    <x v="4"/>
    <x v="6"/>
    <x v="3"/>
    <x v="14"/>
    <x v="4"/>
  </r>
  <r>
    <x v="18"/>
    <x v="2"/>
    <x v="20"/>
    <x v="8"/>
    <x v="2"/>
    <x v="2"/>
    <x v="10"/>
    <x v="10"/>
    <x v="0"/>
    <x v="33"/>
    <x v="10"/>
  </r>
  <r>
    <x v="18"/>
    <x v="2"/>
    <x v="40"/>
    <x v="36"/>
    <x v="17"/>
    <x v="3"/>
    <x v="5"/>
    <x v="10"/>
    <x v="0"/>
    <x v="39"/>
    <x v="6"/>
  </r>
  <r>
    <x v="18"/>
    <x v="2"/>
    <x v="30"/>
    <x v="40"/>
    <x v="6"/>
    <x v="2"/>
    <x v="4"/>
    <x v="6"/>
    <x v="0"/>
    <x v="14"/>
    <x v="4"/>
  </r>
  <r>
    <x v="18"/>
    <x v="2"/>
    <x v="71"/>
    <x v="15"/>
    <x v="34"/>
    <x v="2"/>
    <x v="5"/>
    <x v="12"/>
    <x v="0"/>
    <x v="33"/>
    <x v="6"/>
  </r>
  <r>
    <x v="18"/>
    <x v="2"/>
    <x v="54"/>
    <x v="129"/>
    <x v="51"/>
    <x v="6"/>
    <x v="34"/>
    <x v="14"/>
    <x v="0"/>
    <x v="45"/>
    <x v="28"/>
  </r>
  <r>
    <x v="18"/>
    <x v="2"/>
    <x v="14"/>
    <x v="124"/>
    <x v="37"/>
    <x v="3"/>
    <x v="12"/>
    <x v="13"/>
    <x v="0"/>
    <x v="45"/>
    <x v="11"/>
  </r>
  <r>
    <x v="18"/>
    <x v="2"/>
    <x v="89"/>
    <x v="1"/>
    <x v="20"/>
    <x v="3"/>
    <x v="10"/>
    <x v="13"/>
    <x v="0"/>
    <x v="26"/>
    <x v="10"/>
  </r>
  <r>
    <x v="18"/>
    <x v="2"/>
    <x v="108"/>
    <x v="125"/>
    <x v="37"/>
    <x v="5"/>
    <x v="9"/>
    <x v="10"/>
    <x v="0"/>
    <x v="33"/>
    <x v="9"/>
  </r>
  <r>
    <x v="18"/>
    <x v="2"/>
    <x v="30"/>
    <x v="40"/>
    <x v="6"/>
    <x v="2"/>
    <x v="4"/>
    <x v="8"/>
    <x v="0"/>
    <x v="14"/>
    <x v="4"/>
  </r>
  <r>
    <x v="18"/>
    <x v="2"/>
    <x v="30"/>
    <x v="40"/>
    <x v="6"/>
    <x v="2"/>
    <x v="4"/>
    <x v="8"/>
    <x v="0"/>
    <x v="14"/>
    <x v="4"/>
  </r>
  <r>
    <x v="18"/>
    <x v="2"/>
    <x v="108"/>
    <x v="76"/>
    <x v="27"/>
    <x v="3"/>
    <x v="4"/>
    <x v="3"/>
    <x v="0"/>
    <x v="33"/>
    <x v="4"/>
  </r>
  <r>
    <x v="18"/>
    <x v="2"/>
    <x v="14"/>
    <x v="125"/>
    <x v="37"/>
    <x v="5"/>
    <x v="17"/>
    <x v="12"/>
    <x v="0"/>
    <x v="45"/>
    <x v="15"/>
  </r>
  <r>
    <x v="18"/>
    <x v="2"/>
    <x v="48"/>
    <x v="129"/>
    <x v="51"/>
    <x v="6"/>
    <x v="24"/>
    <x v="13"/>
    <x v="0"/>
    <x v="45"/>
    <x v="20"/>
  </r>
  <r>
    <x v="18"/>
    <x v="2"/>
    <x v="71"/>
    <x v="76"/>
    <x v="27"/>
    <x v="3"/>
    <x v="25"/>
    <x v="12"/>
    <x v="0"/>
    <x v="33"/>
    <x v="21"/>
  </r>
  <r>
    <x v="18"/>
    <x v="2"/>
    <x v="71"/>
    <x v="76"/>
    <x v="27"/>
    <x v="3"/>
    <x v="27"/>
    <x v="12"/>
    <x v="0"/>
    <x v="33"/>
    <x v="23"/>
  </r>
  <r>
    <x v="18"/>
    <x v="2"/>
    <x v="49"/>
    <x v="57"/>
    <x v="42"/>
    <x v="2"/>
    <x v="8"/>
    <x v="10"/>
    <x v="0"/>
    <x v="42"/>
    <x v="8"/>
  </r>
  <r>
    <x v="18"/>
    <x v="2"/>
    <x v="14"/>
    <x v="129"/>
    <x v="51"/>
    <x v="6"/>
    <x v="8"/>
    <x v="12"/>
    <x v="0"/>
    <x v="45"/>
    <x v="8"/>
  </r>
  <r>
    <x v="18"/>
    <x v="2"/>
    <x v="30"/>
    <x v="40"/>
    <x v="6"/>
    <x v="2"/>
    <x v="10"/>
    <x v="10"/>
    <x v="0"/>
    <x v="14"/>
    <x v="10"/>
  </r>
  <r>
    <x v="18"/>
    <x v="2"/>
    <x v="100"/>
    <x v="96"/>
    <x v="49"/>
    <x v="2"/>
    <x v="91"/>
    <x v="13"/>
    <x v="0"/>
    <x v="24"/>
    <x v="74"/>
  </r>
  <r>
    <x v="19"/>
    <x v="2"/>
    <x v="124"/>
    <x v="84"/>
    <x v="36"/>
    <x v="2"/>
    <x v="14"/>
    <x v="10"/>
    <x v="0"/>
    <x v="26"/>
    <x v="13"/>
  </r>
  <r>
    <x v="19"/>
    <x v="2"/>
    <x v="57"/>
    <x v="44"/>
    <x v="5"/>
    <x v="2"/>
    <x v="39"/>
    <x v="6"/>
    <x v="0"/>
    <x v="26"/>
    <x v="32"/>
  </r>
  <r>
    <x v="19"/>
    <x v="2"/>
    <x v="124"/>
    <x v="84"/>
    <x v="36"/>
    <x v="2"/>
    <x v="14"/>
    <x v="12"/>
    <x v="0"/>
    <x v="26"/>
    <x v="13"/>
  </r>
  <r>
    <x v="19"/>
    <x v="2"/>
    <x v="30"/>
    <x v="40"/>
    <x v="6"/>
    <x v="2"/>
    <x v="20"/>
    <x v="13"/>
    <x v="0"/>
    <x v="14"/>
    <x v="17"/>
  </r>
  <r>
    <x v="19"/>
    <x v="2"/>
    <x v="124"/>
    <x v="84"/>
    <x v="36"/>
    <x v="2"/>
    <x v="10"/>
    <x v="3"/>
    <x v="0"/>
    <x v="26"/>
    <x v="10"/>
  </r>
  <r>
    <x v="19"/>
    <x v="2"/>
    <x v="124"/>
    <x v="84"/>
    <x v="36"/>
    <x v="2"/>
    <x v="13"/>
    <x v="12"/>
    <x v="0"/>
    <x v="26"/>
    <x v="12"/>
  </r>
  <r>
    <x v="19"/>
    <x v="2"/>
    <x v="14"/>
    <x v="129"/>
    <x v="51"/>
    <x v="6"/>
    <x v="4"/>
    <x v="10"/>
    <x v="0"/>
    <x v="45"/>
    <x v="4"/>
  </r>
  <r>
    <x v="19"/>
    <x v="2"/>
    <x v="124"/>
    <x v="84"/>
    <x v="36"/>
    <x v="2"/>
    <x v="12"/>
    <x v="13"/>
    <x v="0"/>
    <x v="26"/>
    <x v="11"/>
  </r>
  <r>
    <x v="19"/>
    <x v="2"/>
    <x v="4"/>
    <x v="112"/>
    <x v="30"/>
    <x v="3"/>
    <x v="9"/>
    <x v="12"/>
    <x v="0"/>
    <x v="45"/>
    <x v="9"/>
  </r>
  <r>
    <x v="19"/>
    <x v="2"/>
    <x v="57"/>
    <x v="44"/>
    <x v="5"/>
    <x v="2"/>
    <x v="38"/>
    <x v="10"/>
    <x v="0"/>
    <x v="26"/>
    <x v="31"/>
  </r>
  <r>
    <x v="19"/>
    <x v="2"/>
    <x v="4"/>
    <x v="112"/>
    <x v="30"/>
    <x v="3"/>
    <x v="39"/>
    <x v="14"/>
    <x v="0"/>
    <x v="45"/>
    <x v="32"/>
  </r>
  <r>
    <x v="19"/>
    <x v="2"/>
    <x v="113"/>
    <x v="10"/>
    <x v="0"/>
    <x v="2"/>
    <x v="10"/>
    <x v="8"/>
    <x v="0"/>
    <x v="45"/>
    <x v="10"/>
  </r>
  <r>
    <x v="19"/>
    <x v="2"/>
    <x v="124"/>
    <x v="84"/>
    <x v="36"/>
    <x v="2"/>
    <x v="10"/>
    <x v="8"/>
    <x v="0"/>
    <x v="26"/>
    <x v="10"/>
  </r>
  <r>
    <x v="19"/>
    <x v="2"/>
    <x v="99"/>
    <x v="99"/>
    <x v="42"/>
    <x v="3"/>
    <x v="8"/>
    <x v="8"/>
    <x v="0"/>
    <x v="33"/>
    <x v="8"/>
  </r>
  <r>
    <x v="19"/>
    <x v="2"/>
    <x v="57"/>
    <x v="44"/>
    <x v="5"/>
    <x v="2"/>
    <x v="26"/>
    <x v="8"/>
    <x v="0"/>
    <x v="26"/>
    <x v="22"/>
  </r>
  <r>
    <x v="19"/>
    <x v="2"/>
    <x v="57"/>
    <x v="44"/>
    <x v="5"/>
    <x v="2"/>
    <x v="21"/>
    <x v="8"/>
    <x v="0"/>
    <x v="26"/>
    <x v="18"/>
  </r>
  <r>
    <x v="19"/>
    <x v="2"/>
    <x v="57"/>
    <x v="44"/>
    <x v="5"/>
    <x v="2"/>
    <x v="26"/>
    <x v="8"/>
    <x v="0"/>
    <x v="26"/>
    <x v="22"/>
  </r>
  <r>
    <x v="19"/>
    <x v="2"/>
    <x v="124"/>
    <x v="84"/>
    <x v="36"/>
    <x v="2"/>
    <x v="12"/>
    <x v="8"/>
    <x v="0"/>
    <x v="26"/>
    <x v="11"/>
  </r>
  <r>
    <x v="19"/>
    <x v="2"/>
    <x v="71"/>
    <x v="3"/>
    <x v="1"/>
    <x v="3"/>
    <x v="9"/>
    <x v="10"/>
    <x v="3"/>
    <x v="33"/>
    <x v="9"/>
  </r>
  <r>
    <x v="19"/>
    <x v="2"/>
    <x v="0"/>
    <x v="36"/>
    <x v="17"/>
    <x v="3"/>
    <x v="4"/>
    <x v="8"/>
    <x v="0"/>
    <x v="45"/>
    <x v="4"/>
  </r>
  <r>
    <x v="19"/>
    <x v="2"/>
    <x v="124"/>
    <x v="84"/>
    <x v="36"/>
    <x v="2"/>
    <x v="13"/>
    <x v="12"/>
    <x v="0"/>
    <x v="26"/>
    <x v="12"/>
  </r>
  <r>
    <x v="19"/>
    <x v="2"/>
    <x v="62"/>
    <x v="129"/>
    <x v="51"/>
    <x v="6"/>
    <x v="52"/>
    <x v="16"/>
    <x v="0"/>
    <x v="33"/>
    <x v="43"/>
  </r>
  <r>
    <x v="19"/>
    <x v="2"/>
    <x v="124"/>
    <x v="84"/>
    <x v="36"/>
    <x v="2"/>
    <x v="16"/>
    <x v="12"/>
    <x v="0"/>
    <x v="26"/>
    <x v="14"/>
  </r>
  <r>
    <x v="19"/>
    <x v="2"/>
    <x v="40"/>
    <x v="110"/>
    <x v="33"/>
    <x v="3"/>
    <x v="5"/>
    <x v="10"/>
    <x v="0"/>
    <x v="39"/>
    <x v="6"/>
  </r>
  <r>
    <x v="19"/>
    <x v="2"/>
    <x v="114"/>
    <x v="10"/>
    <x v="0"/>
    <x v="2"/>
    <x v="4"/>
    <x v="3"/>
    <x v="0"/>
    <x v="45"/>
    <x v="4"/>
  </r>
  <r>
    <x v="19"/>
    <x v="2"/>
    <x v="40"/>
    <x v="36"/>
    <x v="17"/>
    <x v="3"/>
    <x v="4"/>
    <x v="10"/>
    <x v="0"/>
    <x v="39"/>
    <x v="4"/>
  </r>
  <r>
    <x v="19"/>
    <x v="2"/>
    <x v="40"/>
    <x v="36"/>
    <x v="17"/>
    <x v="3"/>
    <x v="27"/>
    <x v="13"/>
    <x v="0"/>
    <x v="39"/>
    <x v="23"/>
  </r>
  <r>
    <x v="19"/>
    <x v="2"/>
    <x v="130"/>
    <x v="129"/>
    <x v="45"/>
    <x v="3"/>
    <x v="14"/>
    <x v="6"/>
    <x v="5"/>
    <x v="45"/>
    <x v="13"/>
  </r>
  <r>
    <x v="19"/>
    <x v="2"/>
    <x v="41"/>
    <x v="129"/>
    <x v="12"/>
    <x v="3"/>
    <x v="5"/>
    <x v="10"/>
    <x v="3"/>
    <x v="45"/>
    <x v="6"/>
  </r>
  <r>
    <x v="19"/>
    <x v="2"/>
    <x v="126"/>
    <x v="18"/>
    <x v="42"/>
    <x v="3"/>
    <x v="4"/>
    <x v="5"/>
    <x v="0"/>
    <x v="33"/>
    <x v="4"/>
  </r>
  <r>
    <x v="19"/>
    <x v="2"/>
    <x v="40"/>
    <x v="36"/>
    <x v="17"/>
    <x v="3"/>
    <x v="8"/>
    <x v="10"/>
    <x v="0"/>
    <x v="39"/>
    <x v="8"/>
  </r>
  <r>
    <x v="19"/>
    <x v="2"/>
    <x v="40"/>
    <x v="36"/>
    <x v="17"/>
    <x v="3"/>
    <x v="8"/>
    <x v="8"/>
    <x v="0"/>
    <x v="39"/>
    <x v="8"/>
  </r>
  <r>
    <x v="19"/>
    <x v="2"/>
    <x v="30"/>
    <x v="40"/>
    <x v="6"/>
    <x v="2"/>
    <x v="4"/>
    <x v="6"/>
    <x v="0"/>
    <x v="14"/>
    <x v="4"/>
  </r>
  <r>
    <x v="19"/>
    <x v="2"/>
    <x v="40"/>
    <x v="36"/>
    <x v="17"/>
    <x v="3"/>
    <x v="8"/>
    <x v="12"/>
    <x v="0"/>
    <x v="39"/>
    <x v="8"/>
  </r>
  <r>
    <x v="19"/>
    <x v="2"/>
    <x v="40"/>
    <x v="36"/>
    <x v="17"/>
    <x v="3"/>
    <x v="4"/>
    <x v="7"/>
    <x v="0"/>
    <x v="39"/>
    <x v="4"/>
  </r>
  <r>
    <x v="19"/>
    <x v="2"/>
    <x v="40"/>
    <x v="36"/>
    <x v="17"/>
    <x v="3"/>
    <x v="8"/>
    <x v="10"/>
    <x v="0"/>
    <x v="39"/>
    <x v="8"/>
  </r>
  <r>
    <x v="19"/>
    <x v="2"/>
    <x v="124"/>
    <x v="84"/>
    <x v="36"/>
    <x v="2"/>
    <x v="14"/>
    <x v="13"/>
    <x v="0"/>
    <x v="26"/>
    <x v="13"/>
  </r>
  <r>
    <x v="19"/>
    <x v="2"/>
    <x v="75"/>
    <x v="129"/>
    <x v="51"/>
    <x v="6"/>
    <x v="29"/>
    <x v="13"/>
    <x v="0"/>
    <x v="33"/>
    <x v="24"/>
  </r>
  <r>
    <x v="19"/>
    <x v="2"/>
    <x v="124"/>
    <x v="84"/>
    <x v="36"/>
    <x v="2"/>
    <x v="13"/>
    <x v="10"/>
    <x v="0"/>
    <x v="26"/>
    <x v="12"/>
  </r>
  <r>
    <x v="19"/>
    <x v="2"/>
    <x v="104"/>
    <x v="45"/>
    <x v="5"/>
    <x v="4"/>
    <x v="101"/>
    <x v="20"/>
    <x v="0"/>
    <x v="26"/>
    <x v="83"/>
  </r>
  <r>
    <x v="19"/>
    <x v="2"/>
    <x v="125"/>
    <x v="64"/>
    <x v="7"/>
    <x v="2"/>
    <x v="4"/>
    <x v="6"/>
    <x v="0"/>
    <x v="26"/>
    <x v="4"/>
  </r>
  <r>
    <x v="19"/>
    <x v="2"/>
    <x v="57"/>
    <x v="44"/>
    <x v="5"/>
    <x v="2"/>
    <x v="38"/>
    <x v="12"/>
    <x v="0"/>
    <x v="26"/>
    <x v="31"/>
  </r>
  <r>
    <x v="19"/>
    <x v="2"/>
    <x v="78"/>
    <x v="129"/>
    <x v="31"/>
    <x v="3"/>
    <x v="8"/>
    <x v="10"/>
    <x v="0"/>
    <x v="37"/>
    <x v="8"/>
  </r>
  <r>
    <x v="19"/>
    <x v="2"/>
    <x v="57"/>
    <x v="44"/>
    <x v="5"/>
    <x v="2"/>
    <x v="39"/>
    <x v="12"/>
    <x v="0"/>
    <x v="26"/>
    <x v="32"/>
  </r>
  <r>
    <x v="19"/>
    <x v="2"/>
    <x v="71"/>
    <x v="15"/>
    <x v="34"/>
    <x v="2"/>
    <x v="10"/>
    <x v="10"/>
    <x v="0"/>
    <x v="33"/>
    <x v="10"/>
  </r>
  <r>
    <x v="19"/>
    <x v="2"/>
    <x v="122"/>
    <x v="76"/>
    <x v="27"/>
    <x v="3"/>
    <x v="8"/>
    <x v="12"/>
    <x v="3"/>
    <x v="33"/>
    <x v="8"/>
  </r>
  <r>
    <x v="19"/>
    <x v="2"/>
    <x v="14"/>
    <x v="129"/>
    <x v="51"/>
    <x v="6"/>
    <x v="4"/>
    <x v="6"/>
    <x v="3"/>
    <x v="45"/>
    <x v="4"/>
  </r>
  <r>
    <x v="19"/>
    <x v="2"/>
    <x v="14"/>
    <x v="129"/>
    <x v="51"/>
    <x v="6"/>
    <x v="4"/>
    <x v="8"/>
    <x v="0"/>
    <x v="45"/>
    <x v="4"/>
  </r>
  <r>
    <x v="19"/>
    <x v="2"/>
    <x v="30"/>
    <x v="40"/>
    <x v="6"/>
    <x v="2"/>
    <x v="4"/>
    <x v="8"/>
    <x v="0"/>
    <x v="14"/>
    <x v="4"/>
  </r>
  <r>
    <x v="19"/>
    <x v="2"/>
    <x v="40"/>
    <x v="129"/>
    <x v="51"/>
    <x v="6"/>
    <x v="4"/>
    <x v="8"/>
    <x v="3"/>
    <x v="39"/>
    <x v="4"/>
  </r>
  <r>
    <x v="19"/>
    <x v="2"/>
    <x v="103"/>
    <x v="129"/>
    <x v="42"/>
    <x v="3"/>
    <x v="8"/>
    <x v="9"/>
    <x v="0"/>
    <x v="33"/>
    <x v="8"/>
  </r>
  <r>
    <x v="19"/>
    <x v="2"/>
    <x v="113"/>
    <x v="10"/>
    <x v="0"/>
    <x v="2"/>
    <x v="13"/>
    <x v="12"/>
    <x v="0"/>
    <x v="45"/>
    <x v="12"/>
  </r>
  <r>
    <x v="19"/>
    <x v="2"/>
    <x v="74"/>
    <x v="129"/>
    <x v="51"/>
    <x v="6"/>
    <x v="8"/>
    <x v="12"/>
    <x v="0"/>
    <x v="33"/>
    <x v="8"/>
  </r>
  <r>
    <x v="20"/>
    <x v="7"/>
    <x v="95"/>
    <x v="129"/>
    <x v="51"/>
    <x v="6"/>
    <x v="20"/>
    <x v="10"/>
    <x v="0"/>
    <x v="45"/>
    <x v="17"/>
  </r>
  <r>
    <x v="20"/>
    <x v="7"/>
    <x v="122"/>
    <x v="76"/>
    <x v="27"/>
    <x v="3"/>
    <x v="4"/>
    <x v="6"/>
    <x v="0"/>
    <x v="33"/>
    <x v="4"/>
  </r>
  <r>
    <x v="20"/>
    <x v="7"/>
    <x v="104"/>
    <x v="48"/>
    <x v="5"/>
    <x v="3"/>
    <x v="8"/>
    <x v="6"/>
    <x v="0"/>
    <x v="26"/>
    <x v="8"/>
  </r>
  <r>
    <x v="20"/>
    <x v="7"/>
    <x v="14"/>
    <x v="112"/>
    <x v="30"/>
    <x v="3"/>
    <x v="5"/>
    <x v="6"/>
    <x v="0"/>
    <x v="45"/>
    <x v="6"/>
  </r>
  <r>
    <x v="20"/>
    <x v="7"/>
    <x v="136"/>
    <x v="118"/>
    <x v="37"/>
    <x v="3"/>
    <x v="17"/>
    <x v="12"/>
    <x v="0"/>
    <x v="45"/>
    <x v="15"/>
  </r>
  <r>
    <x v="20"/>
    <x v="7"/>
    <x v="108"/>
    <x v="125"/>
    <x v="37"/>
    <x v="5"/>
    <x v="78"/>
    <x v="20"/>
    <x v="0"/>
    <x v="33"/>
    <x v="63"/>
  </r>
  <r>
    <x v="20"/>
    <x v="7"/>
    <x v="119"/>
    <x v="24"/>
    <x v="14"/>
    <x v="2"/>
    <x v="12"/>
    <x v="8"/>
    <x v="2"/>
    <x v="38"/>
    <x v="11"/>
  </r>
  <r>
    <x v="20"/>
    <x v="7"/>
    <x v="40"/>
    <x v="129"/>
    <x v="51"/>
    <x v="6"/>
    <x v="5"/>
    <x v="6"/>
    <x v="3"/>
    <x v="39"/>
    <x v="6"/>
  </r>
  <r>
    <x v="20"/>
    <x v="7"/>
    <x v="74"/>
    <x v="129"/>
    <x v="51"/>
    <x v="6"/>
    <x v="92"/>
    <x v="23"/>
    <x v="0"/>
    <x v="33"/>
    <x v="75"/>
  </r>
  <r>
    <x v="20"/>
    <x v="7"/>
    <x v="64"/>
    <x v="6"/>
    <x v="22"/>
    <x v="3"/>
    <x v="8"/>
    <x v="6"/>
    <x v="0"/>
    <x v="45"/>
    <x v="8"/>
  </r>
  <r>
    <x v="20"/>
    <x v="7"/>
    <x v="64"/>
    <x v="6"/>
    <x v="22"/>
    <x v="3"/>
    <x v="8"/>
    <x v="6"/>
    <x v="0"/>
    <x v="45"/>
    <x v="8"/>
  </r>
  <r>
    <x v="20"/>
    <x v="7"/>
    <x v="86"/>
    <x v="129"/>
    <x v="1"/>
    <x v="3"/>
    <x v="4"/>
    <x v="5"/>
    <x v="3"/>
    <x v="38"/>
    <x v="4"/>
  </r>
  <r>
    <x v="20"/>
    <x v="7"/>
    <x v="14"/>
    <x v="129"/>
    <x v="51"/>
    <x v="6"/>
    <x v="4"/>
    <x v="5"/>
    <x v="0"/>
    <x v="45"/>
    <x v="4"/>
  </r>
  <r>
    <x v="20"/>
    <x v="7"/>
    <x v="136"/>
    <x v="118"/>
    <x v="37"/>
    <x v="3"/>
    <x v="101"/>
    <x v="23"/>
    <x v="0"/>
    <x v="45"/>
    <x v="83"/>
  </r>
  <r>
    <x v="20"/>
    <x v="7"/>
    <x v="47"/>
    <x v="56"/>
    <x v="42"/>
    <x v="3"/>
    <x v="4"/>
    <x v="6"/>
    <x v="0"/>
    <x v="45"/>
    <x v="4"/>
  </r>
  <r>
    <x v="20"/>
    <x v="7"/>
    <x v="41"/>
    <x v="25"/>
    <x v="8"/>
    <x v="3"/>
    <x v="4"/>
    <x v="6"/>
    <x v="0"/>
    <x v="33"/>
    <x v="4"/>
  </r>
  <r>
    <x v="20"/>
    <x v="7"/>
    <x v="99"/>
    <x v="83"/>
    <x v="42"/>
    <x v="3"/>
    <x v="5"/>
    <x v="6"/>
    <x v="0"/>
    <x v="33"/>
    <x v="6"/>
  </r>
  <r>
    <x v="20"/>
    <x v="7"/>
    <x v="95"/>
    <x v="23"/>
    <x v="24"/>
    <x v="3"/>
    <x v="12"/>
    <x v="10"/>
    <x v="0"/>
    <x v="45"/>
    <x v="11"/>
  </r>
  <r>
    <x v="20"/>
    <x v="7"/>
    <x v="40"/>
    <x v="36"/>
    <x v="17"/>
    <x v="3"/>
    <x v="14"/>
    <x v="12"/>
    <x v="0"/>
    <x v="39"/>
    <x v="13"/>
  </r>
  <r>
    <x v="20"/>
    <x v="7"/>
    <x v="125"/>
    <x v="64"/>
    <x v="7"/>
    <x v="3"/>
    <x v="4"/>
    <x v="6"/>
    <x v="0"/>
    <x v="45"/>
    <x v="4"/>
  </r>
  <r>
    <x v="20"/>
    <x v="7"/>
    <x v="40"/>
    <x v="129"/>
    <x v="51"/>
    <x v="6"/>
    <x v="21"/>
    <x v="12"/>
    <x v="0"/>
    <x v="39"/>
    <x v="18"/>
  </r>
  <r>
    <x v="20"/>
    <x v="7"/>
    <x v="104"/>
    <x v="45"/>
    <x v="5"/>
    <x v="3"/>
    <x v="21"/>
    <x v="10"/>
    <x v="0"/>
    <x v="26"/>
    <x v="18"/>
  </r>
  <r>
    <x v="20"/>
    <x v="7"/>
    <x v="117"/>
    <x v="34"/>
    <x v="39"/>
    <x v="2"/>
    <x v="4"/>
    <x v="5"/>
    <x v="3"/>
    <x v="26"/>
    <x v="4"/>
  </r>
  <r>
    <x v="20"/>
    <x v="7"/>
    <x v="30"/>
    <x v="40"/>
    <x v="6"/>
    <x v="2"/>
    <x v="4"/>
    <x v="3"/>
    <x v="0"/>
    <x v="14"/>
    <x v="4"/>
  </r>
  <r>
    <x v="20"/>
    <x v="7"/>
    <x v="30"/>
    <x v="40"/>
    <x v="6"/>
    <x v="2"/>
    <x v="4"/>
    <x v="3"/>
    <x v="0"/>
    <x v="14"/>
    <x v="4"/>
  </r>
  <r>
    <x v="20"/>
    <x v="7"/>
    <x v="30"/>
    <x v="40"/>
    <x v="6"/>
    <x v="2"/>
    <x v="4"/>
    <x v="3"/>
    <x v="0"/>
    <x v="14"/>
    <x v="4"/>
  </r>
  <r>
    <x v="20"/>
    <x v="7"/>
    <x v="90"/>
    <x v="59"/>
    <x v="13"/>
    <x v="3"/>
    <x v="10"/>
    <x v="10"/>
    <x v="0"/>
    <x v="33"/>
    <x v="10"/>
  </r>
  <r>
    <x v="20"/>
    <x v="7"/>
    <x v="54"/>
    <x v="59"/>
    <x v="13"/>
    <x v="3"/>
    <x v="80"/>
    <x v="23"/>
    <x v="0"/>
    <x v="45"/>
    <x v="65"/>
  </r>
  <r>
    <x v="20"/>
    <x v="7"/>
    <x v="54"/>
    <x v="59"/>
    <x v="13"/>
    <x v="6"/>
    <x v="66"/>
    <x v="18"/>
    <x v="0"/>
    <x v="45"/>
    <x v="55"/>
  </r>
  <r>
    <x v="20"/>
    <x v="7"/>
    <x v="119"/>
    <x v="24"/>
    <x v="14"/>
    <x v="2"/>
    <x v="12"/>
    <x v="14"/>
    <x v="0"/>
    <x v="38"/>
    <x v="11"/>
  </r>
  <r>
    <x v="20"/>
    <x v="7"/>
    <x v="99"/>
    <x v="99"/>
    <x v="42"/>
    <x v="3"/>
    <x v="4"/>
    <x v="8"/>
    <x v="0"/>
    <x v="33"/>
    <x v="4"/>
  </r>
  <r>
    <x v="20"/>
    <x v="7"/>
    <x v="126"/>
    <x v="110"/>
    <x v="33"/>
    <x v="3"/>
    <x v="4"/>
    <x v="8"/>
    <x v="0"/>
    <x v="33"/>
    <x v="4"/>
  </r>
  <r>
    <x v="20"/>
    <x v="7"/>
    <x v="117"/>
    <x v="34"/>
    <x v="39"/>
    <x v="2"/>
    <x v="4"/>
    <x v="1"/>
    <x v="0"/>
    <x v="26"/>
    <x v="4"/>
  </r>
  <r>
    <x v="20"/>
    <x v="7"/>
    <x v="84"/>
    <x v="88"/>
    <x v="8"/>
    <x v="5"/>
    <x v="4"/>
    <x v="10"/>
    <x v="0"/>
    <x v="2"/>
    <x v="4"/>
  </r>
  <r>
    <x v="20"/>
    <x v="7"/>
    <x v="97"/>
    <x v="129"/>
    <x v="51"/>
    <x v="6"/>
    <x v="102"/>
    <x v="23"/>
    <x v="0"/>
    <x v="33"/>
    <x v="84"/>
  </r>
  <r>
    <x v="20"/>
    <x v="7"/>
    <x v="95"/>
    <x v="129"/>
    <x v="24"/>
    <x v="3"/>
    <x v="59"/>
    <x v="18"/>
    <x v="0"/>
    <x v="45"/>
    <x v="49"/>
  </r>
  <r>
    <x v="20"/>
    <x v="7"/>
    <x v="95"/>
    <x v="23"/>
    <x v="24"/>
    <x v="3"/>
    <x v="10"/>
    <x v="10"/>
    <x v="2"/>
    <x v="45"/>
    <x v="10"/>
  </r>
  <r>
    <x v="20"/>
    <x v="7"/>
    <x v="57"/>
    <x v="44"/>
    <x v="5"/>
    <x v="3"/>
    <x v="21"/>
    <x v="6"/>
    <x v="0"/>
    <x v="26"/>
    <x v="18"/>
  </r>
  <r>
    <x v="20"/>
    <x v="7"/>
    <x v="104"/>
    <x v="48"/>
    <x v="5"/>
    <x v="3"/>
    <x v="21"/>
    <x v="10"/>
    <x v="0"/>
    <x v="26"/>
    <x v="18"/>
  </r>
  <r>
    <x v="20"/>
    <x v="7"/>
    <x v="124"/>
    <x v="84"/>
    <x v="36"/>
    <x v="2"/>
    <x v="13"/>
    <x v="10"/>
    <x v="0"/>
    <x v="26"/>
    <x v="12"/>
  </r>
  <r>
    <x v="20"/>
    <x v="7"/>
    <x v="24"/>
    <x v="26"/>
    <x v="41"/>
    <x v="2"/>
    <x v="4"/>
    <x v="8"/>
    <x v="0"/>
    <x v="33"/>
    <x v="4"/>
  </r>
  <r>
    <x v="20"/>
    <x v="7"/>
    <x v="124"/>
    <x v="84"/>
    <x v="36"/>
    <x v="2"/>
    <x v="18"/>
    <x v="6"/>
    <x v="0"/>
    <x v="26"/>
    <x v="16"/>
  </r>
  <r>
    <x v="20"/>
    <x v="7"/>
    <x v="25"/>
    <x v="89"/>
    <x v="38"/>
    <x v="3"/>
    <x v="30"/>
    <x v="20"/>
    <x v="0"/>
    <x v="38"/>
    <x v="25"/>
  </r>
  <r>
    <x v="20"/>
    <x v="7"/>
    <x v="57"/>
    <x v="44"/>
    <x v="5"/>
    <x v="2"/>
    <x v="27"/>
    <x v="14"/>
    <x v="0"/>
    <x v="26"/>
    <x v="23"/>
  </r>
  <r>
    <x v="20"/>
    <x v="7"/>
    <x v="119"/>
    <x v="24"/>
    <x v="14"/>
    <x v="2"/>
    <x v="13"/>
    <x v="14"/>
    <x v="3"/>
    <x v="38"/>
    <x v="12"/>
  </r>
  <r>
    <x v="21"/>
    <x v="7"/>
    <x v="78"/>
    <x v="129"/>
    <x v="31"/>
    <x v="3"/>
    <x v="20"/>
    <x v="13"/>
    <x v="0"/>
    <x v="37"/>
    <x v="17"/>
  </r>
  <r>
    <x v="21"/>
    <x v="7"/>
    <x v="86"/>
    <x v="129"/>
    <x v="51"/>
    <x v="6"/>
    <x v="126"/>
    <x v="23"/>
    <x v="0"/>
    <x v="38"/>
    <x v="106"/>
  </r>
  <r>
    <x v="21"/>
    <x v="7"/>
    <x v="122"/>
    <x v="109"/>
    <x v="33"/>
    <x v="2"/>
    <x v="4"/>
    <x v="10"/>
    <x v="2"/>
    <x v="33"/>
    <x v="4"/>
  </r>
  <r>
    <x v="21"/>
    <x v="7"/>
    <x v="108"/>
    <x v="129"/>
    <x v="51"/>
    <x v="6"/>
    <x v="8"/>
    <x v="10"/>
    <x v="2"/>
    <x v="33"/>
    <x v="8"/>
  </r>
  <r>
    <x v="21"/>
    <x v="7"/>
    <x v="104"/>
    <x v="48"/>
    <x v="5"/>
    <x v="2"/>
    <x v="21"/>
    <x v="10"/>
    <x v="0"/>
    <x v="26"/>
    <x v="18"/>
  </r>
  <r>
    <x v="21"/>
    <x v="7"/>
    <x v="1"/>
    <x v="37"/>
    <x v="26"/>
    <x v="3"/>
    <x v="29"/>
    <x v="13"/>
    <x v="0"/>
    <x v="45"/>
    <x v="24"/>
  </r>
  <r>
    <x v="21"/>
    <x v="7"/>
    <x v="124"/>
    <x v="84"/>
    <x v="36"/>
    <x v="2"/>
    <x v="16"/>
    <x v="12"/>
    <x v="0"/>
    <x v="26"/>
    <x v="14"/>
  </r>
  <r>
    <x v="21"/>
    <x v="7"/>
    <x v="131"/>
    <x v="129"/>
    <x v="51"/>
    <x v="6"/>
    <x v="81"/>
    <x v="23"/>
    <x v="0"/>
    <x v="23"/>
    <x v="66"/>
  </r>
  <r>
    <x v="21"/>
    <x v="7"/>
    <x v="124"/>
    <x v="84"/>
    <x v="36"/>
    <x v="2"/>
    <x v="13"/>
    <x v="14"/>
    <x v="0"/>
    <x v="26"/>
    <x v="12"/>
  </r>
  <r>
    <x v="21"/>
    <x v="7"/>
    <x v="137"/>
    <x v="13"/>
    <x v="29"/>
    <x v="5"/>
    <x v="5"/>
    <x v="8"/>
    <x v="0"/>
    <x v="33"/>
    <x v="6"/>
  </r>
  <r>
    <x v="21"/>
    <x v="7"/>
    <x v="120"/>
    <x v="91"/>
    <x v="45"/>
    <x v="5"/>
    <x v="4"/>
    <x v="3"/>
    <x v="0"/>
    <x v="33"/>
    <x v="4"/>
  </r>
  <r>
    <x v="21"/>
    <x v="7"/>
    <x v="44"/>
    <x v="28"/>
    <x v="24"/>
    <x v="3"/>
    <x v="4"/>
    <x v="5"/>
    <x v="2"/>
    <x v="45"/>
    <x v="4"/>
  </r>
  <r>
    <x v="21"/>
    <x v="7"/>
    <x v="57"/>
    <x v="44"/>
    <x v="5"/>
    <x v="3"/>
    <x v="45"/>
    <x v="14"/>
    <x v="0"/>
    <x v="26"/>
    <x v="37"/>
  </r>
  <r>
    <x v="21"/>
    <x v="7"/>
    <x v="110"/>
    <x v="24"/>
    <x v="14"/>
    <x v="2"/>
    <x v="8"/>
    <x v="10"/>
    <x v="3"/>
    <x v="39"/>
    <x v="8"/>
  </r>
  <r>
    <x v="21"/>
    <x v="7"/>
    <x v="41"/>
    <x v="129"/>
    <x v="51"/>
    <x v="6"/>
    <x v="4"/>
    <x v="10"/>
    <x v="3"/>
    <x v="33"/>
    <x v="4"/>
  </r>
  <r>
    <x v="21"/>
    <x v="7"/>
    <x v="41"/>
    <x v="129"/>
    <x v="51"/>
    <x v="6"/>
    <x v="14"/>
    <x v="16"/>
    <x v="0"/>
    <x v="33"/>
    <x v="13"/>
  </r>
  <r>
    <x v="21"/>
    <x v="7"/>
    <x v="71"/>
    <x v="129"/>
    <x v="51"/>
    <x v="6"/>
    <x v="20"/>
    <x v="14"/>
    <x v="0"/>
    <x v="33"/>
    <x v="17"/>
  </r>
  <r>
    <x v="21"/>
    <x v="7"/>
    <x v="0"/>
    <x v="61"/>
    <x v="25"/>
    <x v="2"/>
    <x v="4"/>
    <x v="6"/>
    <x v="0"/>
    <x v="17"/>
    <x v="4"/>
  </r>
  <r>
    <x v="21"/>
    <x v="7"/>
    <x v="114"/>
    <x v="122"/>
    <x v="3"/>
    <x v="2"/>
    <x v="4"/>
    <x v="3"/>
    <x v="3"/>
    <x v="45"/>
    <x v="4"/>
  </r>
  <r>
    <x v="21"/>
    <x v="7"/>
    <x v="86"/>
    <x v="36"/>
    <x v="17"/>
    <x v="3"/>
    <x v="5"/>
    <x v="8"/>
    <x v="0"/>
    <x v="38"/>
    <x v="6"/>
  </r>
  <r>
    <x v="21"/>
    <x v="7"/>
    <x v="100"/>
    <x v="96"/>
    <x v="49"/>
    <x v="2"/>
    <x v="117"/>
    <x v="20"/>
    <x v="0"/>
    <x v="24"/>
    <x v="98"/>
  </r>
  <r>
    <x v="21"/>
    <x v="7"/>
    <x v="40"/>
    <x v="36"/>
    <x v="17"/>
    <x v="3"/>
    <x v="5"/>
    <x v="12"/>
    <x v="2"/>
    <x v="39"/>
    <x v="6"/>
  </r>
  <r>
    <x v="21"/>
    <x v="7"/>
    <x v="0"/>
    <x v="129"/>
    <x v="51"/>
    <x v="6"/>
    <x v="17"/>
    <x v="13"/>
    <x v="0"/>
    <x v="17"/>
    <x v="15"/>
  </r>
  <r>
    <x v="21"/>
    <x v="7"/>
    <x v="1"/>
    <x v="37"/>
    <x v="26"/>
    <x v="3"/>
    <x v="13"/>
    <x v="13"/>
    <x v="0"/>
    <x v="45"/>
    <x v="12"/>
  </r>
  <r>
    <x v="21"/>
    <x v="7"/>
    <x v="4"/>
    <x v="112"/>
    <x v="30"/>
    <x v="3"/>
    <x v="9"/>
    <x v="14"/>
    <x v="0"/>
    <x v="45"/>
    <x v="9"/>
  </r>
  <r>
    <x v="21"/>
    <x v="7"/>
    <x v="19"/>
    <x v="129"/>
    <x v="51"/>
    <x v="6"/>
    <x v="39"/>
    <x v="17"/>
    <x v="0"/>
    <x v="2"/>
    <x v="32"/>
  </r>
  <r>
    <x v="21"/>
    <x v="7"/>
    <x v="100"/>
    <x v="96"/>
    <x v="49"/>
    <x v="2"/>
    <x v="119"/>
    <x v="20"/>
    <x v="0"/>
    <x v="24"/>
    <x v="100"/>
  </r>
  <r>
    <x v="21"/>
    <x v="7"/>
    <x v="119"/>
    <x v="129"/>
    <x v="51"/>
    <x v="6"/>
    <x v="13"/>
    <x v="13"/>
    <x v="2"/>
    <x v="38"/>
    <x v="12"/>
  </r>
  <r>
    <x v="21"/>
    <x v="7"/>
    <x v="108"/>
    <x v="129"/>
    <x v="51"/>
    <x v="6"/>
    <x v="5"/>
    <x v="5"/>
    <x v="0"/>
    <x v="33"/>
    <x v="6"/>
  </r>
  <r>
    <x v="21"/>
    <x v="7"/>
    <x v="123"/>
    <x v="39"/>
    <x v="45"/>
    <x v="2"/>
    <x v="8"/>
    <x v="6"/>
    <x v="3"/>
    <x v="33"/>
    <x v="8"/>
  </r>
  <r>
    <x v="21"/>
    <x v="7"/>
    <x v="140"/>
    <x v="95"/>
    <x v="42"/>
    <x v="3"/>
    <x v="5"/>
    <x v="8"/>
    <x v="0"/>
    <x v="3"/>
    <x v="6"/>
  </r>
  <r>
    <x v="21"/>
    <x v="7"/>
    <x v="99"/>
    <x v="99"/>
    <x v="42"/>
    <x v="3"/>
    <x v="18"/>
    <x v="12"/>
    <x v="0"/>
    <x v="33"/>
    <x v="16"/>
  </r>
  <r>
    <x v="21"/>
    <x v="7"/>
    <x v="40"/>
    <x v="129"/>
    <x v="51"/>
    <x v="6"/>
    <x v="7"/>
    <x v="10"/>
    <x v="3"/>
    <x v="39"/>
    <x v="7"/>
  </r>
  <r>
    <x v="21"/>
    <x v="7"/>
    <x v="126"/>
    <x v="18"/>
    <x v="42"/>
    <x v="3"/>
    <x v="5"/>
    <x v="10"/>
    <x v="3"/>
    <x v="33"/>
    <x v="6"/>
  </r>
  <r>
    <x v="22"/>
    <x v="7"/>
    <x v="136"/>
    <x v="119"/>
    <x v="37"/>
    <x v="2"/>
    <x v="4"/>
    <x v="3"/>
    <x v="3"/>
    <x v="45"/>
    <x v="4"/>
  </r>
  <r>
    <x v="22"/>
    <x v="7"/>
    <x v="64"/>
    <x v="6"/>
    <x v="22"/>
    <x v="3"/>
    <x v="22"/>
    <x v="13"/>
    <x v="0"/>
    <x v="45"/>
    <x v="19"/>
  </r>
  <r>
    <x v="22"/>
    <x v="7"/>
    <x v="101"/>
    <x v="7"/>
    <x v="20"/>
    <x v="2"/>
    <x v="4"/>
    <x v="6"/>
    <x v="0"/>
    <x v="45"/>
    <x v="4"/>
  </r>
  <r>
    <x v="22"/>
    <x v="7"/>
    <x v="103"/>
    <x v="70"/>
    <x v="45"/>
    <x v="3"/>
    <x v="4"/>
    <x v="6"/>
    <x v="0"/>
    <x v="33"/>
    <x v="4"/>
  </r>
  <r>
    <x v="22"/>
    <x v="7"/>
    <x v="50"/>
    <x v="111"/>
    <x v="3"/>
    <x v="3"/>
    <x v="14"/>
    <x v="10"/>
    <x v="3"/>
    <x v="45"/>
    <x v="13"/>
  </r>
  <r>
    <x v="22"/>
    <x v="7"/>
    <x v="90"/>
    <x v="66"/>
    <x v="46"/>
    <x v="5"/>
    <x v="10"/>
    <x v="10"/>
    <x v="2"/>
    <x v="33"/>
    <x v="10"/>
  </r>
  <r>
    <x v="22"/>
    <x v="7"/>
    <x v="106"/>
    <x v="86"/>
    <x v="42"/>
    <x v="3"/>
    <x v="4"/>
    <x v="6"/>
    <x v="2"/>
    <x v="33"/>
    <x v="4"/>
  </r>
  <r>
    <x v="22"/>
    <x v="7"/>
    <x v="30"/>
    <x v="40"/>
    <x v="6"/>
    <x v="2"/>
    <x v="9"/>
    <x v="12"/>
    <x v="0"/>
    <x v="14"/>
    <x v="9"/>
  </r>
  <r>
    <x v="22"/>
    <x v="7"/>
    <x v="78"/>
    <x v="129"/>
    <x v="31"/>
    <x v="6"/>
    <x v="10"/>
    <x v="10"/>
    <x v="0"/>
    <x v="37"/>
    <x v="10"/>
  </r>
  <r>
    <x v="22"/>
    <x v="7"/>
    <x v="136"/>
    <x v="118"/>
    <x v="37"/>
    <x v="3"/>
    <x v="4"/>
    <x v="8"/>
    <x v="0"/>
    <x v="45"/>
    <x v="4"/>
  </r>
  <r>
    <x v="22"/>
    <x v="7"/>
    <x v="30"/>
    <x v="40"/>
    <x v="6"/>
    <x v="2"/>
    <x v="4"/>
    <x v="8"/>
    <x v="3"/>
    <x v="14"/>
    <x v="4"/>
  </r>
  <r>
    <x v="22"/>
    <x v="7"/>
    <x v="136"/>
    <x v="118"/>
    <x v="37"/>
    <x v="3"/>
    <x v="118"/>
    <x v="20"/>
    <x v="0"/>
    <x v="45"/>
    <x v="99"/>
  </r>
  <r>
    <x v="22"/>
    <x v="7"/>
    <x v="30"/>
    <x v="40"/>
    <x v="6"/>
    <x v="2"/>
    <x v="16"/>
    <x v="13"/>
    <x v="0"/>
    <x v="14"/>
    <x v="14"/>
  </r>
  <r>
    <x v="22"/>
    <x v="7"/>
    <x v="136"/>
    <x v="118"/>
    <x v="37"/>
    <x v="3"/>
    <x v="4"/>
    <x v="10"/>
    <x v="0"/>
    <x v="45"/>
    <x v="4"/>
  </r>
  <r>
    <x v="22"/>
    <x v="7"/>
    <x v="119"/>
    <x v="129"/>
    <x v="51"/>
    <x v="6"/>
    <x v="4"/>
    <x v="10"/>
    <x v="0"/>
    <x v="38"/>
    <x v="4"/>
  </r>
  <r>
    <x v="22"/>
    <x v="7"/>
    <x v="30"/>
    <x v="40"/>
    <x v="6"/>
    <x v="2"/>
    <x v="8"/>
    <x v="10"/>
    <x v="0"/>
    <x v="14"/>
    <x v="8"/>
  </r>
  <r>
    <x v="22"/>
    <x v="7"/>
    <x v="125"/>
    <x v="64"/>
    <x v="7"/>
    <x v="3"/>
    <x v="4"/>
    <x v="2"/>
    <x v="0"/>
    <x v="2"/>
    <x v="4"/>
  </r>
  <r>
    <x v="22"/>
    <x v="7"/>
    <x v="106"/>
    <x v="129"/>
    <x v="51"/>
    <x v="6"/>
    <x v="9"/>
    <x v="10"/>
    <x v="0"/>
    <x v="33"/>
    <x v="9"/>
  </r>
  <r>
    <x v="22"/>
    <x v="7"/>
    <x v="57"/>
    <x v="44"/>
    <x v="5"/>
    <x v="2"/>
    <x v="41"/>
    <x v="12"/>
    <x v="0"/>
    <x v="26"/>
    <x v="34"/>
  </r>
  <r>
    <x v="22"/>
    <x v="7"/>
    <x v="71"/>
    <x v="14"/>
    <x v="10"/>
    <x v="6"/>
    <x v="12"/>
    <x v="13"/>
    <x v="0"/>
    <x v="33"/>
    <x v="11"/>
  </r>
  <r>
    <x v="22"/>
    <x v="7"/>
    <x v="30"/>
    <x v="40"/>
    <x v="6"/>
    <x v="2"/>
    <x v="41"/>
    <x v="14"/>
    <x v="0"/>
    <x v="14"/>
    <x v="34"/>
  </r>
  <r>
    <x v="22"/>
    <x v="7"/>
    <x v="0"/>
    <x v="129"/>
    <x v="51"/>
    <x v="6"/>
    <x v="8"/>
    <x v="13"/>
    <x v="0"/>
    <x v="17"/>
    <x v="8"/>
  </r>
  <r>
    <x v="22"/>
    <x v="7"/>
    <x v="64"/>
    <x v="6"/>
    <x v="22"/>
    <x v="3"/>
    <x v="33"/>
    <x v="16"/>
    <x v="0"/>
    <x v="45"/>
    <x v="27"/>
  </r>
  <r>
    <x v="22"/>
    <x v="7"/>
    <x v="57"/>
    <x v="44"/>
    <x v="5"/>
    <x v="2"/>
    <x v="22"/>
    <x v="10"/>
    <x v="0"/>
    <x v="26"/>
    <x v="19"/>
  </r>
  <r>
    <x v="22"/>
    <x v="7"/>
    <x v="136"/>
    <x v="117"/>
    <x v="37"/>
    <x v="2"/>
    <x v="4"/>
    <x v="12"/>
    <x v="3"/>
    <x v="45"/>
    <x v="4"/>
  </r>
  <r>
    <x v="22"/>
    <x v="7"/>
    <x v="30"/>
    <x v="40"/>
    <x v="6"/>
    <x v="2"/>
    <x v="4"/>
    <x v="8"/>
    <x v="0"/>
    <x v="14"/>
    <x v="4"/>
  </r>
  <r>
    <x v="22"/>
    <x v="7"/>
    <x v="30"/>
    <x v="40"/>
    <x v="6"/>
    <x v="2"/>
    <x v="21"/>
    <x v="12"/>
    <x v="0"/>
    <x v="14"/>
    <x v="18"/>
  </r>
  <r>
    <x v="22"/>
    <x v="7"/>
    <x v="90"/>
    <x v="66"/>
    <x v="46"/>
    <x v="5"/>
    <x v="13"/>
    <x v="12"/>
    <x v="0"/>
    <x v="33"/>
    <x v="12"/>
  </r>
  <r>
    <x v="22"/>
    <x v="7"/>
    <x v="74"/>
    <x v="129"/>
    <x v="51"/>
    <x v="6"/>
    <x v="12"/>
    <x v="12"/>
    <x v="0"/>
    <x v="33"/>
    <x v="11"/>
  </r>
  <r>
    <x v="22"/>
    <x v="7"/>
    <x v="136"/>
    <x v="118"/>
    <x v="37"/>
    <x v="3"/>
    <x v="5"/>
    <x v="12"/>
    <x v="3"/>
    <x v="45"/>
    <x v="6"/>
  </r>
  <r>
    <x v="22"/>
    <x v="7"/>
    <x v="136"/>
    <x v="118"/>
    <x v="37"/>
    <x v="3"/>
    <x v="5"/>
    <x v="10"/>
    <x v="0"/>
    <x v="45"/>
    <x v="6"/>
  </r>
  <r>
    <x v="22"/>
    <x v="7"/>
    <x v="136"/>
    <x v="118"/>
    <x v="37"/>
    <x v="3"/>
    <x v="4"/>
    <x v="6"/>
    <x v="0"/>
    <x v="45"/>
    <x v="4"/>
  </r>
  <r>
    <x v="22"/>
    <x v="7"/>
    <x v="89"/>
    <x v="68"/>
    <x v="20"/>
    <x v="3"/>
    <x v="4"/>
    <x v="10"/>
    <x v="3"/>
    <x v="45"/>
    <x v="4"/>
  </r>
  <r>
    <x v="22"/>
    <x v="7"/>
    <x v="122"/>
    <x v="129"/>
    <x v="42"/>
    <x v="3"/>
    <x v="13"/>
    <x v="10"/>
    <x v="0"/>
    <x v="33"/>
    <x v="12"/>
  </r>
  <r>
    <x v="22"/>
    <x v="7"/>
    <x v="126"/>
    <x v="76"/>
    <x v="27"/>
    <x v="3"/>
    <x v="4"/>
    <x v="10"/>
    <x v="0"/>
    <x v="33"/>
    <x v="4"/>
  </r>
  <r>
    <x v="22"/>
    <x v="7"/>
    <x v="90"/>
    <x v="66"/>
    <x v="46"/>
    <x v="5"/>
    <x v="17"/>
    <x v="10"/>
    <x v="3"/>
    <x v="33"/>
    <x v="15"/>
  </r>
  <r>
    <x v="22"/>
    <x v="7"/>
    <x v="106"/>
    <x v="89"/>
    <x v="38"/>
    <x v="3"/>
    <x v="4"/>
    <x v="10"/>
    <x v="0"/>
    <x v="33"/>
    <x v="4"/>
  </r>
  <r>
    <x v="22"/>
    <x v="7"/>
    <x v="125"/>
    <x v="64"/>
    <x v="7"/>
    <x v="3"/>
    <x v="8"/>
    <x v="12"/>
    <x v="0"/>
    <x v="2"/>
    <x v="8"/>
  </r>
  <r>
    <x v="22"/>
    <x v="7"/>
    <x v="136"/>
    <x v="118"/>
    <x v="37"/>
    <x v="3"/>
    <x v="24"/>
    <x v="14"/>
    <x v="0"/>
    <x v="45"/>
    <x v="20"/>
  </r>
  <r>
    <x v="22"/>
    <x v="7"/>
    <x v="106"/>
    <x v="127"/>
    <x v="1"/>
    <x v="3"/>
    <x v="5"/>
    <x v="12"/>
    <x v="0"/>
    <x v="33"/>
    <x v="6"/>
  </r>
  <r>
    <x v="22"/>
    <x v="7"/>
    <x v="136"/>
    <x v="118"/>
    <x v="37"/>
    <x v="3"/>
    <x v="16"/>
    <x v="12"/>
    <x v="0"/>
    <x v="45"/>
    <x v="14"/>
  </r>
  <r>
    <x v="22"/>
    <x v="7"/>
    <x v="90"/>
    <x v="66"/>
    <x v="46"/>
    <x v="5"/>
    <x v="14"/>
    <x v="12"/>
    <x v="0"/>
    <x v="33"/>
    <x v="13"/>
  </r>
  <r>
    <x v="22"/>
    <x v="7"/>
    <x v="71"/>
    <x v="76"/>
    <x v="27"/>
    <x v="3"/>
    <x v="4"/>
    <x v="6"/>
    <x v="0"/>
    <x v="33"/>
    <x v="4"/>
  </r>
  <r>
    <x v="22"/>
    <x v="7"/>
    <x v="6"/>
    <x v="129"/>
    <x v="51"/>
    <x v="6"/>
    <x v="4"/>
    <x v="8"/>
    <x v="3"/>
    <x v="45"/>
    <x v="4"/>
  </r>
  <r>
    <x v="22"/>
    <x v="7"/>
    <x v="30"/>
    <x v="40"/>
    <x v="6"/>
    <x v="2"/>
    <x v="4"/>
    <x v="8"/>
    <x v="0"/>
    <x v="14"/>
    <x v="4"/>
  </r>
  <r>
    <x v="22"/>
    <x v="7"/>
    <x v="30"/>
    <x v="40"/>
    <x v="6"/>
    <x v="2"/>
    <x v="10"/>
    <x v="12"/>
    <x v="0"/>
    <x v="14"/>
    <x v="10"/>
  </r>
  <r>
    <x v="22"/>
    <x v="7"/>
    <x v="6"/>
    <x v="129"/>
    <x v="51"/>
    <x v="6"/>
    <x v="4"/>
    <x v="6"/>
    <x v="0"/>
    <x v="45"/>
    <x v="4"/>
  </r>
  <r>
    <x v="22"/>
    <x v="7"/>
    <x v="89"/>
    <x v="68"/>
    <x v="20"/>
    <x v="3"/>
    <x v="4"/>
    <x v="10"/>
    <x v="3"/>
    <x v="45"/>
    <x v="4"/>
  </r>
  <r>
    <x v="22"/>
    <x v="7"/>
    <x v="86"/>
    <x v="129"/>
    <x v="51"/>
    <x v="6"/>
    <x v="17"/>
    <x v="13"/>
    <x v="0"/>
    <x v="38"/>
    <x v="15"/>
  </r>
  <r>
    <x v="22"/>
    <x v="7"/>
    <x v="0"/>
    <x v="129"/>
    <x v="20"/>
    <x v="3"/>
    <x v="8"/>
    <x v="12"/>
    <x v="0"/>
    <x v="17"/>
    <x v="8"/>
  </r>
  <r>
    <x v="22"/>
    <x v="7"/>
    <x v="136"/>
    <x v="118"/>
    <x v="37"/>
    <x v="3"/>
    <x v="92"/>
    <x v="20"/>
    <x v="0"/>
    <x v="45"/>
    <x v="75"/>
  </r>
  <r>
    <x v="22"/>
    <x v="7"/>
    <x v="130"/>
    <x v="129"/>
    <x v="51"/>
    <x v="6"/>
    <x v="77"/>
    <x v="20"/>
    <x v="0"/>
    <x v="45"/>
    <x v="62"/>
  </r>
  <r>
    <x v="22"/>
    <x v="7"/>
    <x v="30"/>
    <x v="40"/>
    <x v="6"/>
    <x v="2"/>
    <x v="29"/>
    <x v="15"/>
    <x v="0"/>
    <x v="14"/>
    <x v="24"/>
  </r>
  <r>
    <x v="22"/>
    <x v="7"/>
    <x v="30"/>
    <x v="40"/>
    <x v="6"/>
    <x v="2"/>
    <x v="17"/>
    <x v="12"/>
    <x v="0"/>
    <x v="14"/>
    <x v="15"/>
  </r>
  <r>
    <x v="22"/>
    <x v="7"/>
    <x v="6"/>
    <x v="81"/>
    <x v="48"/>
    <x v="3"/>
    <x v="4"/>
    <x v="6"/>
    <x v="0"/>
    <x v="45"/>
    <x v="4"/>
  </r>
  <r>
    <x v="23"/>
    <x v="7"/>
    <x v="124"/>
    <x v="27"/>
    <x v="6"/>
    <x v="3"/>
    <x v="13"/>
    <x v="3"/>
    <x v="0"/>
    <x v="26"/>
    <x v="12"/>
  </r>
  <r>
    <x v="23"/>
    <x v="7"/>
    <x v="104"/>
    <x v="48"/>
    <x v="5"/>
    <x v="3"/>
    <x v="81"/>
    <x v="23"/>
    <x v="5"/>
    <x v="26"/>
    <x v="66"/>
  </r>
  <r>
    <x v="23"/>
    <x v="7"/>
    <x v="14"/>
    <x v="56"/>
    <x v="42"/>
    <x v="3"/>
    <x v="4"/>
    <x v="6"/>
    <x v="0"/>
    <x v="45"/>
    <x v="4"/>
  </r>
  <r>
    <x v="23"/>
    <x v="7"/>
    <x v="96"/>
    <x v="129"/>
    <x v="51"/>
    <x v="6"/>
    <x v="46"/>
    <x v="18"/>
    <x v="0"/>
    <x v="2"/>
    <x v="38"/>
  </r>
  <r>
    <x v="23"/>
    <x v="7"/>
    <x v="104"/>
    <x v="48"/>
    <x v="5"/>
    <x v="3"/>
    <x v="86"/>
    <x v="13"/>
    <x v="0"/>
    <x v="26"/>
    <x v="71"/>
  </r>
  <r>
    <x v="23"/>
    <x v="7"/>
    <x v="120"/>
    <x v="91"/>
    <x v="45"/>
    <x v="5"/>
    <x v="4"/>
    <x v="6"/>
    <x v="0"/>
    <x v="33"/>
    <x v="4"/>
  </r>
  <r>
    <x v="23"/>
    <x v="7"/>
    <x v="71"/>
    <x v="129"/>
    <x v="51"/>
    <x v="6"/>
    <x v="4"/>
    <x v="8"/>
    <x v="0"/>
    <x v="33"/>
    <x v="4"/>
  </r>
  <r>
    <x v="23"/>
    <x v="7"/>
    <x v="40"/>
    <x v="36"/>
    <x v="17"/>
    <x v="3"/>
    <x v="4"/>
    <x v="6"/>
    <x v="3"/>
    <x v="39"/>
    <x v="4"/>
  </r>
  <r>
    <x v="23"/>
    <x v="7"/>
    <x v="90"/>
    <x v="129"/>
    <x v="51"/>
    <x v="6"/>
    <x v="8"/>
    <x v="10"/>
    <x v="3"/>
    <x v="33"/>
    <x v="8"/>
  </r>
  <r>
    <x v="23"/>
    <x v="7"/>
    <x v="126"/>
    <x v="112"/>
    <x v="30"/>
    <x v="3"/>
    <x v="4"/>
    <x v="10"/>
    <x v="2"/>
    <x v="33"/>
    <x v="4"/>
  </r>
  <r>
    <x v="23"/>
    <x v="7"/>
    <x v="95"/>
    <x v="129"/>
    <x v="51"/>
    <x v="6"/>
    <x v="4"/>
    <x v="8"/>
    <x v="0"/>
    <x v="45"/>
    <x v="4"/>
  </r>
  <r>
    <x v="23"/>
    <x v="7"/>
    <x v="4"/>
    <x v="129"/>
    <x v="42"/>
    <x v="3"/>
    <x v="9"/>
    <x v="8"/>
    <x v="2"/>
    <x v="45"/>
    <x v="9"/>
  </r>
  <r>
    <x v="23"/>
    <x v="7"/>
    <x v="124"/>
    <x v="84"/>
    <x v="36"/>
    <x v="2"/>
    <x v="29"/>
    <x v="3"/>
    <x v="0"/>
    <x v="26"/>
    <x v="24"/>
  </r>
  <r>
    <x v="23"/>
    <x v="7"/>
    <x v="100"/>
    <x v="96"/>
    <x v="49"/>
    <x v="2"/>
    <x v="8"/>
    <x v="10"/>
    <x v="0"/>
    <x v="24"/>
    <x v="8"/>
  </r>
  <r>
    <x v="23"/>
    <x v="7"/>
    <x v="24"/>
    <x v="26"/>
    <x v="41"/>
    <x v="2"/>
    <x v="20"/>
    <x v="13"/>
    <x v="3"/>
    <x v="33"/>
    <x v="17"/>
  </r>
  <r>
    <x v="23"/>
    <x v="7"/>
    <x v="119"/>
    <x v="129"/>
    <x v="51"/>
    <x v="6"/>
    <x v="12"/>
    <x v="13"/>
    <x v="0"/>
    <x v="38"/>
    <x v="11"/>
  </r>
  <r>
    <x v="23"/>
    <x v="7"/>
    <x v="68"/>
    <x v="67"/>
    <x v="20"/>
    <x v="3"/>
    <x v="4"/>
    <x v="8"/>
    <x v="0"/>
    <x v="45"/>
    <x v="4"/>
  </r>
  <r>
    <x v="23"/>
    <x v="7"/>
    <x v="96"/>
    <x v="129"/>
    <x v="51"/>
    <x v="6"/>
    <x v="29"/>
    <x v="13"/>
    <x v="3"/>
    <x v="2"/>
    <x v="24"/>
  </r>
  <r>
    <x v="23"/>
    <x v="7"/>
    <x v="15"/>
    <x v="121"/>
    <x v="23"/>
    <x v="3"/>
    <x v="4"/>
    <x v="8"/>
    <x v="0"/>
    <x v="45"/>
    <x v="4"/>
  </r>
  <r>
    <x v="23"/>
    <x v="7"/>
    <x v="110"/>
    <x v="24"/>
    <x v="14"/>
    <x v="2"/>
    <x v="4"/>
    <x v="6"/>
    <x v="3"/>
    <x v="39"/>
    <x v="4"/>
  </r>
  <r>
    <x v="23"/>
    <x v="7"/>
    <x v="40"/>
    <x v="35"/>
    <x v="17"/>
    <x v="2"/>
    <x v="4"/>
    <x v="6"/>
    <x v="3"/>
    <x v="39"/>
    <x v="4"/>
  </r>
  <r>
    <x v="23"/>
    <x v="7"/>
    <x v="99"/>
    <x v="129"/>
    <x v="51"/>
    <x v="6"/>
    <x v="4"/>
    <x v="6"/>
    <x v="0"/>
    <x v="33"/>
    <x v="4"/>
  </r>
  <r>
    <x v="23"/>
    <x v="7"/>
    <x v="64"/>
    <x v="4"/>
    <x v="22"/>
    <x v="2"/>
    <x v="5"/>
    <x v="8"/>
    <x v="0"/>
    <x v="45"/>
    <x v="6"/>
  </r>
  <r>
    <x v="23"/>
    <x v="7"/>
    <x v="106"/>
    <x v="129"/>
    <x v="42"/>
    <x v="3"/>
    <x v="4"/>
    <x v="6"/>
    <x v="3"/>
    <x v="33"/>
    <x v="4"/>
  </r>
  <r>
    <x v="23"/>
    <x v="7"/>
    <x v="86"/>
    <x v="129"/>
    <x v="28"/>
    <x v="3"/>
    <x v="18"/>
    <x v="13"/>
    <x v="3"/>
    <x v="38"/>
    <x v="16"/>
  </r>
  <r>
    <x v="23"/>
    <x v="7"/>
    <x v="110"/>
    <x v="24"/>
    <x v="14"/>
    <x v="2"/>
    <x v="4"/>
    <x v="8"/>
    <x v="0"/>
    <x v="39"/>
    <x v="4"/>
  </r>
  <r>
    <x v="23"/>
    <x v="7"/>
    <x v="74"/>
    <x v="129"/>
    <x v="31"/>
    <x v="3"/>
    <x v="5"/>
    <x v="8"/>
    <x v="0"/>
    <x v="33"/>
    <x v="6"/>
  </r>
  <r>
    <x v="23"/>
    <x v="7"/>
    <x v="0"/>
    <x v="129"/>
    <x v="51"/>
    <x v="6"/>
    <x v="38"/>
    <x v="14"/>
    <x v="0"/>
    <x v="17"/>
    <x v="31"/>
  </r>
  <r>
    <x v="23"/>
    <x v="7"/>
    <x v="47"/>
    <x v="112"/>
    <x v="30"/>
    <x v="3"/>
    <x v="10"/>
    <x v="10"/>
    <x v="3"/>
    <x v="45"/>
    <x v="10"/>
  </r>
  <r>
    <x v="23"/>
    <x v="7"/>
    <x v="122"/>
    <x v="129"/>
    <x v="51"/>
    <x v="6"/>
    <x v="5"/>
    <x v="10"/>
    <x v="0"/>
    <x v="33"/>
    <x v="6"/>
  </r>
  <r>
    <x v="23"/>
    <x v="7"/>
    <x v="140"/>
    <x v="99"/>
    <x v="42"/>
    <x v="3"/>
    <x v="16"/>
    <x v="13"/>
    <x v="0"/>
    <x v="3"/>
    <x v="14"/>
  </r>
  <r>
    <x v="23"/>
    <x v="7"/>
    <x v="106"/>
    <x v="92"/>
    <x v="1"/>
    <x v="3"/>
    <x v="16"/>
    <x v="12"/>
    <x v="0"/>
    <x v="33"/>
    <x v="14"/>
  </r>
  <r>
    <x v="23"/>
    <x v="7"/>
    <x v="0"/>
    <x v="129"/>
    <x v="51"/>
    <x v="6"/>
    <x v="4"/>
    <x v="10"/>
    <x v="0"/>
    <x v="17"/>
    <x v="4"/>
  </r>
  <r>
    <x v="23"/>
    <x v="7"/>
    <x v="140"/>
    <x v="99"/>
    <x v="42"/>
    <x v="3"/>
    <x v="22"/>
    <x v="8"/>
    <x v="0"/>
    <x v="3"/>
    <x v="19"/>
  </r>
  <r>
    <x v="23"/>
    <x v="7"/>
    <x v="140"/>
    <x v="99"/>
    <x v="42"/>
    <x v="3"/>
    <x v="18"/>
    <x v="13"/>
    <x v="0"/>
    <x v="3"/>
    <x v="16"/>
  </r>
  <r>
    <x v="23"/>
    <x v="7"/>
    <x v="106"/>
    <x v="92"/>
    <x v="1"/>
    <x v="3"/>
    <x v="9"/>
    <x v="12"/>
    <x v="0"/>
    <x v="33"/>
    <x v="9"/>
  </r>
  <r>
    <x v="23"/>
    <x v="7"/>
    <x v="19"/>
    <x v="10"/>
    <x v="0"/>
    <x v="2"/>
    <x v="5"/>
    <x v="8"/>
    <x v="0"/>
    <x v="2"/>
    <x v="6"/>
  </r>
  <r>
    <x v="23"/>
    <x v="7"/>
    <x v="15"/>
    <x v="121"/>
    <x v="23"/>
    <x v="3"/>
    <x v="12"/>
    <x v="12"/>
    <x v="3"/>
    <x v="45"/>
    <x v="11"/>
  </r>
  <r>
    <x v="23"/>
    <x v="7"/>
    <x v="57"/>
    <x v="44"/>
    <x v="5"/>
    <x v="2"/>
    <x v="51"/>
    <x v="18"/>
    <x v="0"/>
    <x v="26"/>
    <x v="42"/>
  </r>
  <r>
    <x v="23"/>
    <x v="7"/>
    <x v="106"/>
    <x v="92"/>
    <x v="1"/>
    <x v="3"/>
    <x v="4"/>
    <x v="6"/>
    <x v="0"/>
    <x v="33"/>
    <x v="4"/>
  </r>
  <r>
    <x v="23"/>
    <x v="7"/>
    <x v="98"/>
    <x v="129"/>
    <x v="51"/>
    <x v="6"/>
    <x v="145"/>
    <x v="23"/>
    <x v="0"/>
    <x v="45"/>
    <x v="122"/>
  </r>
  <r>
    <x v="23"/>
    <x v="7"/>
    <x v="27"/>
    <x v="129"/>
    <x v="51"/>
    <x v="6"/>
    <x v="97"/>
    <x v="24"/>
    <x v="0"/>
    <x v="33"/>
    <x v="79"/>
  </r>
  <r>
    <x v="23"/>
    <x v="7"/>
    <x v="0"/>
    <x v="37"/>
    <x v="26"/>
    <x v="3"/>
    <x v="45"/>
    <x v="14"/>
    <x v="0"/>
    <x v="17"/>
    <x v="37"/>
  </r>
  <r>
    <x v="23"/>
    <x v="7"/>
    <x v="104"/>
    <x v="48"/>
    <x v="5"/>
    <x v="3"/>
    <x v="97"/>
    <x v="26"/>
    <x v="0"/>
    <x v="26"/>
    <x v="79"/>
  </r>
  <r>
    <x v="24"/>
    <x v="7"/>
    <x v="47"/>
    <x v="122"/>
    <x v="3"/>
    <x v="2"/>
    <x v="10"/>
    <x v="6"/>
    <x v="2"/>
    <x v="45"/>
    <x v="10"/>
  </r>
  <r>
    <x v="24"/>
    <x v="7"/>
    <x v="123"/>
    <x v="39"/>
    <x v="45"/>
    <x v="2"/>
    <x v="12"/>
    <x v="12"/>
    <x v="0"/>
    <x v="33"/>
    <x v="11"/>
  </r>
  <r>
    <x v="24"/>
    <x v="7"/>
    <x v="123"/>
    <x v="39"/>
    <x v="45"/>
    <x v="2"/>
    <x v="8"/>
    <x v="8"/>
    <x v="0"/>
    <x v="33"/>
    <x v="8"/>
  </r>
  <r>
    <x v="24"/>
    <x v="7"/>
    <x v="47"/>
    <x v="129"/>
    <x v="51"/>
    <x v="6"/>
    <x v="5"/>
    <x v="6"/>
    <x v="2"/>
    <x v="45"/>
    <x v="6"/>
  </r>
  <r>
    <x v="24"/>
    <x v="7"/>
    <x v="47"/>
    <x v="129"/>
    <x v="51"/>
    <x v="6"/>
    <x v="4"/>
    <x v="3"/>
    <x v="0"/>
    <x v="45"/>
    <x v="4"/>
  </r>
  <r>
    <x v="24"/>
    <x v="7"/>
    <x v="48"/>
    <x v="28"/>
    <x v="24"/>
    <x v="3"/>
    <x v="8"/>
    <x v="6"/>
    <x v="0"/>
    <x v="45"/>
    <x v="8"/>
  </r>
  <r>
    <x v="24"/>
    <x v="7"/>
    <x v="20"/>
    <x v="8"/>
    <x v="2"/>
    <x v="2"/>
    <x v="5"/>
    <x v="8"/>
    <x v="0"/>
    <x v="33"/>
    <x v="6"/>
  </r>
  <r>
    <x v="24"/>
    <x v="7"/>
    <x v="61"/>
    <x v="123"/>
    <x v="15"/>
    <x v="3"/>
    <x v="128"/>
    <x v="20"/>
    <x v="3"/>
    <x v="33"/>
    <x v="108"/>
  </r>
  <r>
    <x v="24"/>
    <x v="7"/>
    <x v="119"/>
    <x v="129"/>
    <x v="51"/>
    <x v="6"/>
    <x v="9"/>
    <x v="12"/>
    <x v="0"/>
    <x v="38"/>
    <x v="9"/>
  </r>
  <r>
    <x v="24"/>
    <x v="7"/>
    <x v="140"/>
    <x v="30"/>
    <x v="42"/>
    <x v="3"/>
    <x v="5"/>
    <x v="12"/>
    <x v="0"/>
    <x v="3"/>
    <x v="6"/>
  </r>
  <r>
    <x v="24"/>
    <x v="7"/>
    <x v="106"/>
    <x v="38"/>
    <x v="45"/>
    <x v="3"/>
    <x v="4"/>
    <x v="6"/>
    <x v="3"/>
    <x v="33"/>
    <x v="4"/>
  </r>
  <r>
    <x v="24"/>
    <x v="7"/>
    <x v="30"/>
    <x v="40"/>
    <x v="6"/>
    <x v="2"/>
    <x v="4"/>
    <x v="6"/>
    <x v="0"/>
    <x v="14"/>
    <x v="4"/>
  </r>
  <r>
    <x v="24"/>
    <x v="7"/>
    <x v="127"/>
    <x v="70"/>
    <x v="45"/>
    <x v="3"/>
    <x v="4"/>
    <x v="8"/>
    <x v="0"/>
    <x v="45"/>
    <x v="4"/>
  </r>
  <r>
    <x v="24"/>
    <x v="7"/>
    <x v="30"/>
    <x v="40"/>
    <x v="6"/>
    <x v="2"/>
    <x v="17"/>
    <x v="12"/>
    <x v="0"/>
    <x v="14"/>
    <x v="15"/>
  </r>
  <r>
    <x v="24"/>
    <x v="7"/>
    <x v="48"/>
    <x v="70"/>
    <x v="45"/>
    <x v="3"/>
    <x v="8"/>
    <x v="12"/>
    <x v="0"/>
    <x v="45"/>
    <x v="8"/>
  </r>
  <r>
    <x v="24"/>
    <x v="7"/>
    <x v="138"/>
    <x v="129"/>
    <x v="51"/>
    <x v="6"/>
    <x v="4"/>
    <x v="12"/>
    <x v="3"/>
    <x v="45"/>
    <x v="4"/>
  </r>
  <r>
    <x v="24"/>
    <x v="7"/>
    <x v="30"/>
    <x v="40"/>
    <x v="6"/>
    <x v="2"/>
    <x v="8"/>
    <x v="12"/>
    <x v="0"/>
    <x v="14"/>
    <x v="8"/>
  </r>
  <r>
    <x v="24"/>
    <x v="7"/>
    <x v="30"/>
    <x v="40"/>
    <x v="6"/>
    <x v="2"/>
    <x v="8"/>
    <x v="13"/>
    <x v="0"/>
    <x v="14"/>
    <x v="8"/>
  </r>
  <r>
    <x v="24"/>
    <x v="7"/>
    <x v="104"/>
    <x v="48"/>
    <x v="5"/>
    <x v="3"/>
    <x v="100"/>
    <x v="18"/>
    <x v="0"/>
    <x v="26"/>
    <x v="82"/>
  </r>
  <r>
    <x v="24"/>
    <x v="7"/>
    <x v="122"/>
    <x v="76"/>
    <x v="27"/>
    <x v="3"/>
    <x v="4"/>
    <x v="8"/>
    <x v="2"/>
    <x v="33"/>
    <x v="4"/>
  </r>
  <r>
    <x v="24"/>
    <x v="7"/>
    <x v="100"/>
    <x v="96"/>
    <x v="49"/>
    <x v="2"/>
    <x v="112"/>
    <x v="16"/>
    <x v="0"/>
    <x v="24"/>
    <x v="93"/>
  </r>
  <r>
    <x v="24"/>
    <x v="7"/>
    <x v="104"/>
    <x v="48"/>
    <x v="5"/>
    <x v="3"/>
    <x v="98"/>
    <x v="18"/>
    <x v="0"/>
    <x v="26"/>
    <x v="80"/>
  </r>
  <r>
    <x v="24"/>
    <x v="7"/>
    <x v="62"/>
    <x v="110"/>
    <x v="33"/>
    <x v="3"/>
    <x v="4"/>
    <x v="6"/>
    <x v="3"/>
    <x v="33"/>
    <x v="4"/>
  </r>
  <r>
    <x v="24"/>
    <x v="7"/>
    <x v="74"/>
    <x v="129"/>
    <x v="51"/>
    <x v="6"/>
    <x v="21"/>
    <x v="13"/>
    <x v="3"/>
    <x v="33"/>
    <x v="18"/>
  </r>
  <r>
    <x v="24"/>
    <x v="7"/>
    <x v="30"/>
    <x v="40"/>
    <x v="6"/>
    <x v="2"/>
    <x v="8"/>
    <x v="13"/>
    <x v="0"/>
    <x v="14"/>
    <x v="8"/>
  </r>
  <r>
    <x v="24"/>
    <x v="7"/>
    <x v="74"/>
    <x v="93"/>
    <x v="12"/>
    <x v="6"/>
    <x v="4"/>
    <x v="6"/>
    <x v="3"/>
    <x v="33"/>
    <x v="4"/>
  </r>
  <r>
    <x v="24"/>
    <x v="7"/>
    <x v="18"/>
    <x v="127"/>
    <x v="1"/>
    <x v="3"/>
    <x v="4"/>
    <x v="10"/>
    <x v="0"/>
    <x v="33"/>
    <x v="4"/>
  </r>
  <r>
    <x v="24"/>
    <x v="7"/>
    <x v="57"/>
    <x v="48"/>
    <x v="5"/>
    <x v="3"/>
    <x v="8"/>
    <x v="10"/>
    <x v="0"/>
    <x v="26"/>
    <x v="8"/>
  </r>
  <r>
    <x v="24"/>
    <x v="7"/>
    <x v="27"/>
    <x v="51"/>
    <x v="19"/>
    <x v="3"/>
    <x v="4"/>
    <x v="6"/>
    <x v="0"/>
    <x v="33"/>
    <x v="4"/>
  </r>
  <r>
    <x v="24"/>
    <x v="7"/>
    <x v="24"/>
    <x v="26"/>
    <x v="41"/>
    <x v="2"/>
    <x v="13"/>
    <x v="12"/>
    <x v="0"/>
    <x v="33"/>
    <x v="12"/>
  </r>
  <r>
    <x v="24"/>
    <x v="7"/>
    <x v="140"/>
    <x v="99"/>
    <x v="42"/>
    <x v="3"/>
    <x v="4"/>
    <x v="10"/>
    <x v="3"/>
    <x v="3"/>
    <x v="4"/>
  </r>
  <r>
    <x v="24"/>
    <x v="7"/>
    <x v="100"/>
    <x v="96"/>
    <x v="49"/>
    <x v="2"/>
    <x v="81"/>
    <x v="14"/>
    <x v="0"/>
    <x v="24"/>
    <x v="66"/>
  </r>
  <r>
    <x v="24"/>
    <x v="7"/>
    <x v="125"/>
    <x v="64"/>
    <x v="7"/>
    <x v="3"/>
    <x v="4"/>
    <x v="10"/>
    <x v="0"/>
    <x v="2"/>
    <x v="4"/>
  </r>
  <r>
    <x v="24"/>
    <x v="7"/>
    <x v="30"/>
    <x v="40"/>
    <x v="6"/>
    <x v="2"/>
    <x v="12"/>
    <x v="10"/>
    <x v="0"/>
    <x v="14"/>
    <x v="11"/>
  </r>
  <r>
    <x v="24"/>
    <x v="7"/>
    <x v="86"/>
    <x v="129"/>
    <x v="51"/>
    <x v="6"/>
    <x v="33"/>
    <x v="14"/>
    <x v="0"/>
    <x v="38"/>
    <x v="27"/>
  </r>
  <r>
    <x v="24"/>
    <x v="7"/>
    <x v="100"/>
    <x v="96"/>
    <x v="49"/>
    <x v="2"/>
    <x v="107"/>
    <x v="18"/>
    <x v="0"/>
    <x v="24"/>
    <x v="88"/>
  </r>
  <r>
    <x v="24"/>
    <x v="7"/>
    <x v="30"/>
    <x v="40"/>
    <x v="6"/>
    <x v="2"/>
    <x v="4"/>
    <x v="6"/>
    <x v="0"/>
    <x v="14"/>
    <x v="4"/>
  </r>
  <r>
    <x v="24"/>
    <x v="7"/>
    <x v="30"/>
    <x v="40"/>
    <x v="6"/>
    <x v="2"/>
    <x v="4"/>
    <x v="6"/>
    <x v="0"/>
    <x v="14"/>
    <x v="4"/>
  </r>
  <r>
    <x v="24"/>
    <x v="7"/>
    <x v="64"/>
    <x v="6"/>
    <x v="22"/>
    <x v="3"/>
    <x v="22"/>
    <x v="14"/>
    <x v="0"/>
    <x v="45"/>
    <x v="19"/>
  </r>
  <r>
    <x v="24"/>
    <x v="7"/>
    <x v="89"/>
    <x v="68"/>
    <x v="20"/>
    <x v="3"/>
    <x v="13"/>
    <x v="13"/>
    <x v="5"/>
    <x v="45"/>
    <x v="12"/>
  </r>
  <r>
    <x v="24"/>
    <x v="7"/>
    <x v="100"/>
    <x v="96"/>
    <x v="49"/>
    <x v="2"/>
    <x v="113"/>
    <x v="18"/>
    <x v="0"/>
    <x v="24"/>
    <x v="94"/>
  </r>
  <r>
    <x v="24"/>
    <x v="7"/>
    <x v="78"/>
    <x v="93"/>
    <x v="12"/>
    <x v="6"/>
    <x v="4"/>
    <x v="8"/>
    <x v="0"/>
    <x v="37"/>
    <x v="4"/>
  </r>
  <r>
    <x v="24"/>
    <x v="7"/>
    <x v="100"/>
    <x v="96"/>
    <x v="49"/>
    <x v="2"/>
    <x v="82"/>
    <x v="12"/>
    <x v="0"/>
    <x v="24"/>
    <x v="68"/>
  </r>
  <r>
    <x v="24"/>
    <x v="7"/>
    <x v="30"/>
    <x v="40"/>
    <x v="6"/>
    <x v="2"/>
    <x v="46"/>
    <x v="13"/>
    <x v="0"/>
    <x v="14"/>
    <x v="38"/>
  </r>
  <r>
    <x v="24"/>
    <x v="7"/>
    <x v="138"/>
    <x v="81"/>
    <x v="48"/>
    <x v="2"/>
    <x v="13"/>
    <x v="12"/>
    <x v="3"/>
    <x v="45"/>
    <x v="12"/>
  </r>
  <r>
    <x v="24"/>
    <x v="7"/>
    <x v="62"/>
    <x v="110"/>
    <x v="33"/>
    <x v="3"/>
    <x v="5"/>
    <x v="8"/>
    <x v="0"/>
    <x v="33"/>
    <x v="6"/>
  </r>
  <r>
    <x v="25"/>
    <x v="7"/>
    <x v="62"/>
    <x v="129"/>
    <x v="42"/>
    <x v="3"/>
    <x v="16"/>
    <x v="12"/>
    <x v="0"/>
    <x v="33"/>
    <x v="14"/>
  </r>
  <r>
    <x v="25"/>
    <x v="7"/>
    <x v="30"/>
    <x v="40"/>
    <x v="6"/>
    <x v="2"/>
    <x v="18"/>
    <x v="13"/>
    <x v="0"/>
    <x v="14"/>
    <x v="16"/>
  </r>
  <r>
    <x v="25"/>
    <x v="7"/>
    <x v="102"/>
    <x v="129"/>
    <x v="51"/>
    <x v="6"/>
    <x v="18"/>
    <x v="14"/>
    <x v="3"/>
    <x v="33"/>
    <x v="16"/>
  </r>
  <r>
    <x v="25"/>
    <x v="7"/>
    <x v="72"/>
    <x v="129"/>
    <x v="51"/>
    <x v="6"/>
    <x v="13"/>
    <x v="13"/>
    <x v="0"/>
    <x v="33"/>
    <x v="12"/>
  </r>
  <r>
    <x v="25"/>
    <x v="7"/>
    <x v="61"/>
    <x v="123"/>
    <x v="15"/>
    <x v="3"/>
    <x v="60"/>
    <x v="16"/>
    <x v="5"/>
    <x v="33"/>
    <x v="50"/>
  </r>
  <r>
    <x v="25"/>
    <x v="7"/>
    <x v="14"/>
    <x v="129"/>
    <x v="51"/>
    <x v="6"/>
    <x v="16"/>
    <x v="12"/>
    <x v="0"/>
    <x v="45"/>
    <x v="14"/>
  </r>
  <r>
    <x v="25"/>
    <x v="7"/>
    <x v="126"/>
    <x v="18"/>
    <x v="42"/>
    <x v="3"/>
    <x v="9"/>
    <x v="12"/>
    <x v="0"/>
    <x v="33"/>
    <x v="9"/>
  </r>
  <r>
    <x v="25"/>
    <x v="7"/>
    <x v="126"/>
    <x v="18"/>
    <x v="42"/>
    <x v="3"/>
    <x v="4"/>
    <x v="8"/>
    <x v="0"/>
    <x v="33"/>
    <x v="4"/>
  </r>
  <r>
    <x v="25"/>
    <x v="7"/>
    <x v="64"/>
    <x v="6"/>
    <x v="22"/>
    <x v="3"/>
    <x v="16"/>
    <x v="12"/>
    <x v="0"/>
    <x v="45"/>
    <x v="14"/>
  </r>
  <r>
    <x v="25"/>
    <x v="7"/>
    <x v="30"/>
    <x v="40"/>
    <x v="6"/>
    <x v="2"/>
    <x v="9"/>
    <x v="12"/>
    <x v="0"/>
    <x v="14"/>
    <x v="9"/>
  </r>
  <r>
    <x v="25"/>
    <x v="7"/>
    <x v="104"/>
    <x v="48"/>
    <x v="5"/>
    <x v="3"/>
    <x v="104"/>
    <x v="18"/>
    <x v="0"/>
    <x v="26"/>
    <x v="86"/>
  </r>
  <r>
    <x v="25"/>
    <x v="7"/>
    <x v="24"/>
    <x v="57"/>
    <x v="42"/>
    <x v="2"/>
    <x v="4"/>
    <x v="8"/>
    <x v="0"/>
    <x v="33"/>
    <x v="4"/>
  </r>
  <r>
    <x v="25"/>
    <x v="7"/>
    <x v="30"/>
    <x v="40"/>
    <x v="6"/>
    <x v="2"/>
    <x v="12"/>
    <x v="13"/>
    <x v="0"/>
    <x v="14"/>
    <x v="11"/>
  </r>
  <r>
    <x v="25"/>
    <x v="7"/>
    <x v="130"/>
    <x v="129"/>
    <x v="51"/>
    <x v="6"/>
    <x v="8"/>
    <x v="8"/>
    <x v="2"/>
    <x v="45"/>
    <x v="8"/>
  </r>
  <r>
    <x v="25"/>
    <x v="7"/>
    <x v="130"/>
    <x v="129"/>
    <x v="51"/>
    <x v="6"/>
    <x v="53"/>
    <x v="18"/>
    <x v="3"/>
    <x v="45"/>
    <x v="44"/>
  </r>
  <r>
    <x v="25"/>
    <x v="7"/>
    <x v="30"/>
    <x v="40"/>
    <x v="6"/>
    <x v="2"/>
    <x v="8"/>
    <x v="8"/>
    <x v="0"/>
    <x v="14"/>
    <x v="8"/>
  </r>
  <r>
    <x v="25"/>
    <x v="7"/>
    <x v="62"/>
    <x v="129"/>
    <x v="51"/>
    <x v="6"/>
    <x v="8"/>
    <x v="13"/>
    <x v="3"/>
    <x v="33"/>
    <x v="8"/>
  </r>
  <r>
    <x v="25"/>
    <x v="7"/>
    <x v="100"/>
    <x v="96"/>
    <x v="49"/>
    <x v="2"/>
    <x v="79"/>
    <x v="12"/>
    <x v="0"/>
    <x v="24"/>
    <x v="64"/>
  </r>
  <r>
    <x v="25"/>
    <x v="7"/>
    <x v="30"/>
    <x v="40"/>
    <x v="6"/>
    <x v="2"/>
    <x v="12"/>
    <x v="12"/>
    <x v="0"/>
    <x v="14"/>
    <x v="11"/>
  </r>
  <r>
    <x v="25"/>
    <x v="7"/>
    <x v="30"/>
    <x v="40"/>
    <x v="6"/>
    <x v="2"/>
    <x v="8"/>
    <x v="8"/>
    <x v="0"/>
    <x v="14"/>
    <x v="8"/>
  </r>
  <r>
    <x v="25"/>
    <x v="7"/>
    <x v="20"/>
    <x v="8"/>
    <x v="2"/>
    <x v="2"/>
    <x v="14"/>
    <x v="10"/>
    <x v="0"/>
    <x v="33"/>
    <x v="13"/>
  </r>
  <r>
    <x v="25"/>
    <x v="7"/>
    <x v="30"/>
    <x v="40"/>
    <x v="6"/>
    <x v="2"/>
    <x v="17"/>
    <x v="10"/>
    <x v="0"/>
    <x v="14"/>
    <x v="15"/>
  </r>
  <r>
    <x v="25"/>
    <x v="7"/>
    <x v="30"/>
    <x v="40"/>
    <x v="6"/>
    <x v="2"/>
    <x v="8"/>
    <x v="12"/>
    <x v="0"/>
    <x v="14"/>
    <x v="8"/>
  </r>
  <r>
    <x v="25"/>
    <x v="7"/>
    <x v="30"/>
    <x v="40"/>
    <x v="6"/>
    <x v="2"/>
    <x v="5"/>
    <x v="10"/>
    <x v="0"/>
    <x v="14"/>
    <x v="6"/>
  </r>
  <r>
    <x v="25"/>
    <x v="7"/>
    <x v="30"/>
    <x v="40"/>
    <x v="6"/>
    <x v="2"/>
    <x v="4"/>
    <x v="6"/>
    <x v="0"/>
    <x v="14"/>
    <x v="4"/>
  </r>
  <r>
    <x v="25"/>
    <x v="7"/>
    <x v="64"/>
    <x v="6"/>
    <x v="22"/>
    <x v="3"/>
    <x v="13"/>
    <x v="13"/>
    <x v="0"/>
    <x v="45"/>
    <x v="12"/>
  </r>
  <r>
    <x v="25"/>
    <x v="7"/>
    <x v="30"/>
    <x v="40"/>
    <x v="6"/>
    <x v="2"/>
    <x v="8"/>
    <x v="12"/>
    <x v="0"/>
    <x v="14"/>
    <x v="8"/>
  </r>
  <r>
    <x v="25"/>
    <x v="7"/>
    <x v="4"/>
    <x v="129"/>
    <x v="51"/>
    <x v="6"/>
    <x v="29"/>
    <x v="14"/>
    <x v="3"/>
    <x v="45"/>
    <x v="24"/>
  </r>
  <r>
    <x v="25"/>
    <x v="7"/>
    <x v="126"/>
    <x v="18"/>
    <x v="42"/>
    <x v="3"/>
    <x v="5"/>
    <x v="8"/>
    <x v="3"/>
    <x v="33"/>
    <x v="6"/>
  </r>
  <r>
    <x v="25"/>
    <x v="7"/>
    <x v="64"/>
    <x v="6"/>
    <x v="22"/>
    <x v="3"/>
    <x v="5"/>
    <x v="10"/>
    <x v="0"/>
    <x v="45"/>
    <x v="6"/>
  </r>
  <r>
    <x v="25"/>
    <x v="7"/>
    <x v="61"/>
    <x v="123"/>
    <x v="15"/>
    <x v="3"/>
    <x v="131"/>
    <x v="20"/>
    <x v="0"/>
    <x v="33"/>
    <x v="110"/>
  </r>
  <r>
    <x v="25"/>
    <x v="7"/>
    <x v="64"/>
    <x v="6"/>
    <x v="22"/>
    <x v="3"/>
    <x v="12"/>
    <x v="13"/>
    <x v="0"/>
    <x v="45"/>
    <x v="11"/>
  </r>
  <r>
    <x v="25"/>
    <x v="7"/>
    <x v="15"/>
    <x v="121"/>
    <x v="23"/>
    <x v="3"/>
    <x v="13"/>
    <x v="12"/>
    <x v="3"/>
    <x v="45"/>
    <x v="12"/>
  </r>
  <r>
    <x v="25"/>
    <x v="7"/>
    <x v="64"/>
    <x v="6"/>
    <x v="22"/>
    <x v="3"/>
    <x v="4"/>
    <x v="3"/>
    <x v="3"/>
    <x v="45"/>
    <x v="4"/>
  </r>
  <r>
    <x v="25"/>
    <x v="7"/>
    <x v="26"/>
    <x v="46"/>
    <x v="5"/>
    <x v="2"/>
    <x v="17"/>
    <x v="12"/>
    <x v="3"/>
    <x v="45"/>
    <x v="15"/>
  </r>
  <r>
    <x v="25"/>
    <x v="7"/>
    <x v="100"/>
    <x v="96"/>
    <x v="49"/>
    <x v="2"/>
    <x v="8"/>
    <x v="12"/>
    <x v="0"/>
    <x v="24"/>
    <x v="8"/>
  </r>
  <r>
    <x v="25"/>
    <x v="7"/>
    <x v="30"/>
    <x v="40"/>
    <x v="6"/>
    <x v="2"/>
    <x v="5"/>
    <x v="10"/>
    <x v="0"/>
    <x v="14"/>
    <x v="6"/>
  </r>
  <r>
    <x v="25"/>
    <x v="7"/>
    <x v="30"/>
    <x v="40"/>
    <x v="6"/>
    <x v="2"/>
    <x v="8"/>
    <x v="10"/>
    <x v="0"/>
    <x v="14"/>
    <x v="8"/>
  </r>
  <r>
    <x v="25"/>
    <x v="7"/>
    <x v="14"/>
    <x v="129"/>
    <x v="42"/>
    <x v="3"/>
    <x v="8"/>
    <x v="10"/>
    <x v="0"/>
    <x v="45"/>
    <x v="8"/>
  </r>
  <r>
    <x v="25"/>
    <x v="7"/>
    <x v="127"/>
    <x v="129"/>
    <x v="51"/>
    <x v="6"/>
    <x v="10"/>
    <x v="12"/>
    <x v="2"/>
    <x v="45"/>
    <x v="10"/>
  </r>
  <r>
    <x v="25"/>
    <x v="7"/>
    <x v="137"/>
    <x v="64"/>
    <x v="7"/>
    <x v="3"/>
    <x v="17"/>
    <x v="13"/>
    <x v="0"/>
    <x v="33"/>
    <x v="15"/>
  </r>
  <r>
    <x v="25"/>
    <x v="7"/>
    <x v="48"/>
    <x v="28"/>
    <x v="24"/>
    <x v="3"/>
    <x v="37"/>
    <x v="20"/>
    <x v="0"/>
    <x v="45"/>
    <x v="30"/>
  </r>
  <r>
    <x v="25"/>
    <x v="7"/>
    <x v="47"/>
    <x v="129"/>
    <x v="51"/>
    <x v="6"/>
    <x v="8"/>
    <x v="12"/>
    <x v="0"/>
    <x v="45"/>
    <x v="8"/>
  </r>
  <r>
    <x v="25"/>
    <x v="7"/>
    <x v="74"/>
    <x v="59"/>
    <x v="13"/>
    <x v="3"/>
    <x v="4"/>
    <x v="6"/>
    <x v="3"/>
    <x v="33"/>
    <x v="4"/>
  </r>
  <r>
    <x v="25"/>
    <x v="7"/>
    <x v="89"/>
    <x v="68"/>
    <x v="20"/>
    <x v="3"/>
    <x v="4"/>
    <x v="12"/>
    <x v="0"/>
    <x v="45"/>
    <x v="4"/>
  </r>
  <r>
    <x v="25"/>
    <x v="7"/>
    <x v="127"/>
    <x v="129"/>
    <x v="42"/>
    <x v="3"/>
    <x v="13"/>
    <x v="12"/>
    <x v="2"/>
    <x v="45"/>
    <x v="12"/>
  </r>
  <r>
    <x v="25"/>
    <x v="7"/>
    <x v="106"/>
    <x v="129"/>
    <x v="51"/>
    <x v="6"/>
    <x v="14"/>
    <x v="13"/>
    <x v="3"/>
    <x v="33"/>
    <x v="13"/>
  </r>
  <r>
    <x v="25"/>
    <x v="7"/>
    <x v="20"/>
    <x v="8"/>
    <x v="2"/>
    <x v="2"/>
    <x v="4"/>
    <x v="6"/>
    <x v="0"/>
    <x v="33"/>
    <x v="4"/>
  </r>
  <r>
    <x v="25"/>
    <x v="7"/>
    <x v="30"/>
    <x v="40"/>
    <x v="6"/>
    <x v="2"/>
    <x v="4"/>
    <x v="8"/>
    <x v="0"/>
    <x v="14"/>
    <x v="4"/>
  </r>
  <r>
    <x v="25"/>
    <x v="7"/>
    <x v="30"/>
    <x v="40"/>
    <x v="6"/>
    <x v="2"/>
    <x v="4"/>
    <x v="8"/>
    <x v="0"/>
    <x v="14"/>
    <x v="4"/>
  </r>
  <r>
    <x v="25"/>
    <x v="7"/>
    <x v="14"/>
    <x v="129"/>
    <x v="51"/>
    <x v="6"/>
    <x v="4"/>
    <x v="8"/>
    <x v="0"/>
    <x v="45"/>
    <x v="4"/>
  </r>
  <r>
    <x v="25"/>
    <x v="7"/>
    <x v="120"/>
    <x v="21"/>
    <x v="42"/>
    <x v="3"/>
    <x v="4"/>
    <x v="8"/>
    <x v="3"/>
    <x v="33"/>
    <x v="4"/>
  </r>
  <r>
    <x v="25"/>
    <x v="7"/>
    <x v="136"/>
    <x v="118"/>
    <x v="37"/>
    <x v="3"/>
    <x v="14"/>
    <x v="13"/>
    <x v="0"/>
    <x v="45"/>
    <x v="13"/>
  </r>
  <r>
    <x v="25"/>
    <x v="7"/>
    <x v="136"/>
    <x v="119"/>
    <x v="37"/>
    <x v="2"/>
    <x v="4"/>
    <x v="8"/>
    <x v="3"/>
    <x v="45"/>
    <x v="4"/>
  </r>
  <r>
    <x v="25"/>
    <x v="7"/>
    <x v="126"/>
    <x v="18"/>
    <x v="42"/>
    <x v="3"/>
    <x v="10"/>
    <x v="12"/>
    <x v="0"/>
    <x v="33"/>
    <x v="10"/>
  </r>
  <r>
    <x v="26"/>
    <x v="6"/>
    <x v="57"/>
    <x v="44"/>
    <x v="5"/>
    <x v="2"/>
    <x v="20"/>
    <x v="10"/>
    <x v="0"/>
    <x v="26"/>
    <x v="17"/>
  </r>
  <r>
    <x v="26"/>
    <x v="6"/>
    <x v="57"/>
    <x v="44"/>
    <x v="5"/>
    <x v="2"/>
    <x v="17"/>
    <x v="6"/>
    <x v="0"/>
    <x v="26"/>
    <x v="15"/>
  </r>
  <r>
    <x v="26"/>
    <x v="6"/>
    <x v="24"/>
    <x v="26"/>
    <x v="41"/>
    <x v="2"/>
    <x v="4"/>
    <x v="8"/>
    <x v="3"/>
    <x v="33"/>
    <x v="4"/>
  </r>
  <r>
    <x v="26"/>
    <x v="6"/>
    <x v="93"/>
    <x v="74"/>
    <x v="32"/>
    <x v="3"/>
    <x v="5"/>
    <x v="20"/>
    <x v="0"/>
    <x v="45"/>
    <x v="6"/>
  </r>
  <r>
    <x v="26"/>
    <x v="6"/>
    <x v="93"/>
    <x v="74"/>
    <x v="32"/>
    <x v="3"/>
    <x v="20"/>
    <x v="16"/>
    <x v="0"/>
    <x v="45"/>
    <x v="17"/>
  </r>
  <r>
    <x v="26"/>
    <x v="6"/>
    <x v="30"/>
    <x v="40"/>
    <x v="6"/>
    <x v="2"/>
    <x v="4"/>
    <x v="8"/>
    <x v="0"/>
    <x v="14"/>
    <x v="4"/>
  </r>
  <r>
    <x v="26"/>
    <x v="6"/>
    <x v="30"/>
    <x v="40"/>
    <x v="6"/>
    <x v="2"/>
    <x v="8"/>
    <x v="12"/>
    <x v="0"/>
    <x v="14"/>
    <x v="8"/>
  </r>
  <r>
    <x v="26"/>
    <x v="6"/>
    <x v="107"/>
    <x v="0"/>
    <x v="0"/>
    <x v="3"/>
    <x v="4"/>
    <x v="6"/>
    <x v="0"/>
    <x v="33"/>
    <x v="4"/>
  </r>
  <r>
    <x v="26"/>
    <x v="6"/>
    <x v="50"/>
    <x v="129"/>
    <x v="51"/>
    <x v="6"/>
    <x v="18"/>
    <x v="13"/>
    <x v="0"/>
    <x v="45"/>
    <x v="16"/>
  </r>
  <r>
    <x v="26"/>
    <x v="6"/>
    <x v="107"/>
    <x v="0"/>
    <x v="0"/>
    <x v="3"/>
    <x v="8"/>
    <x v="13"/>
    <x v="2"/>
    <x v="33"/>
    <x v="8"/>
  </r>
  <r>
    <x v="26"/>
    <x v="6"/>
    <x v="122"/>
    <x v="76"/>
    <x v="27"/>
    <x v="3"/>
    <x v="12"/>
    <x v="10"/>
    <x v="0"/>
    <x v="33"/>
    <x v="11"/>
  </r>
  <r>
    <x v="26"/>
    <x v="6"/>
    <x v="95"/>
    <x v="129"/>
    <x v="1"/>
    <x v="3"/>
    <x v="12"/>
    <x v="10"/>
    <x v="3"/>
    <x v="45"/>
    <x v="11"/>
  </r>
  <r>
    <x v="26"/>
    <x v="6"/>
    <x v="102"/>
    <x v="129"/>
    <x v="51"/>
    <x v="6"/>
    <x v="16"/>
    <x v="16"/>
    <x v="0"/>
    <x v="33"/>
    <x v="14"/>
  </r>
  <r>
    <x v="26"/>
    <x v="6"/>
    <x v="40"/>
    <x v="36"/>
    <x v="17"/>
    <x v="3"/>
    <x v="18"/>
    <x v="18"/>
    <x v="0"/>
    <x v="39"/>
    <x v="16"/>
  </r>
  <r>
    <x v="26"/>
    <x v="6"/>
    <x v="48"/>
    <x v="28"/>
    <x v="24"/>
    <x v="3"/>
    <x v="42"/>
    <x v="20"/>
    <x v="0"/>
    <x v="45"/>
    <x v="35"/>
  </r>
  <r>
    <x v="26"/>
    <x v="6"/>
    <x v="57"/>
    <x v="44"/>
    <x v="5"/>
    <x v="2"/>
    <x v="25"/>
    <x v="10"/>
    <x v="0"/>
    <x v="26"/>
    <x v="21"/>
  </r>
  <r>
    <x v="26"/>
    <x v="6"/>
    <x v="90"/>
    <x v="129"/>
    <x v="51"/>
    <x v="6"/>
    <x v="14"/>
    <x v="16"/>
    <x v="0"/>
    <x v="33"/>
    <x v="13"/>
  </r>
  <r>
    <x v="26"/>
    <x v="6"/>
    <x v="40"/>
    <x v="36"/>
    <x v="17"/>
    <x v="3"/>
    <x v="24"/>
    <x v="18"/>
    <x v="0"/>
    <x v="39"/>
    <x v="20"/>
  </r>
  <r>
    <x v="26"/>
    <x v="6"/>
    <x v="119"/>
    <x v="129"/>
    <x v="51"/>
    <x v="6"/>
    <x v="13"/>
    <x v="13"/>
    <x v="0"/>
    <x v="38"/>
    <x v="12"/>
  </r>
  <r>
    <x v="26"/>
    <x v="6"/>
    <x v="24"/>
    <x v="26"/>
    <x v="41"/>
    <x v="2"/>
    <x v="16"/>
    <x v="14"/>
    <x v="3"/>
    <x v="33"/>
    <x v="14"/>
  </r>
  <r>
    <x v="26"/>
    <x v="6"/>
    <x v="86"/>
    <x v="0"/>
    <x v="0"/>
    <x v="3"/>
    <x v="51"/>
    <x v="20"/>
    <x v="0"/>
    <x v="38"/>
    <x v="42"/>
  </r>
  <r>
    <x v="26"/>
    <x v="6"/>
    <x v="86"/>
    <x v="0"/>
    <x v="0"/>
    <x v="3"/>
    <x v="27"/>
    <x v="18"/>
    <x v="0"/>
    <x v="38"/>
    <x v="23"/>
  </r>
  <r>
    <x v="26"/>
    <x v="6"/>
    <x v="27"/>
    <x v="129"/>
    <x v="51"/>
    <x v="6"/>
    <x v="67"/>
    <x v="20"/>
    <x v="0"/>
    <x v="33"/>
    <x v="56"/>
  </r>
  <r>
    <x v="26"/>
    <x v="6"/>
    <x v="95"/>
    <x v="126"/>
    <x v="1"/>
    <x v="2"/>
    <x v="48"/>
    <x v="16"/>
    <x v="2"/>
    <x v="45"/>
    <x v="40"/>
  </r>
  <r>
    <x v="26"/>
    <x v="6"/>
    <x v="108"/>
    <x v="125"/>
    <x v="37"/>
    <x v="5"/>
    <x v="18"/>
    <x v="16"/>
    <x v="0"/>
    <x v="33"/>
    <x v="16"/>
  </r>
  <r>
    <x v="26"/>
    <x v="6"/>
    <x v="122"/>
    <x v="76"/>
    <x v="27"/>
    <x v="3"/>
    <x v="12"/>
    <x v="13"/>
    <x v="0"/>
    <x v="33"/>
    <x v="11"/>
  </r>
  <r>
    <x v="26"/>
    <x v="6"/>
    <x v="122"/>
    <x v="76"/>
    <x v="27"/>
    <x v="3"/>
    <x v="14"/>
    <x v="12"/>
    <x v="3"/>
    <x v="33"/>
    <x v="13"/>
  </r>
  <r>
    <x v="26"/>
    <x v="6"/>
    <x v="40"/>
    <x v="36"/>
    <x v="17"/>
    <x v="3"/>
    <x v="4"/>
    <x v="10"/>
    <x v="0"/>
    <x v="39"/>
    <x v="4"/>
  </r>
  <r>
    <x v="26"/>
    <x v="6"/>
    <x v="40"/>
    <x v="36"/>
    <x v="17"/>
    <x v="3"/>
    <x v="2"/>
    <x v="15"/>
    <x v="0"/>
    <x v="39"/>
    <x v="2"/>
  </r>
  <r>
    <x v="26"/>
    <x v="6"/>
    <x v="30"/>
    <x v="40"/>
    <x v="6"/>
    <x v="2"/>
    <x v="4"/>
    <x v="6"/>
    <x v="0"/>
    <x v="14"/>
    <x v="4"/>
  </r>
  <r>
    <x v="26"/>
    <x v="6"/>
    <x v="57"/>
    <x v="44"/>
    <x v="5"/>
    <x v="2"/>
    <x v="38"/>
    <x v="14"/>
    <x v="0"/>
    <x v="26"/>
    <x v="31"/>
  </r>
  <r>
    <x v="26"/>
    <x v="6"/>
    <x v="57"/>
    <x v="44"/>
    <x v="5"/>
    <x v="2"/>
    <x v="8"/>
    <x v="6"/>
    <x v="0"/>
    <x v="26"/>
    <x v="8"/>
  </r>
  <r>
    <x v="26"/>
    <x v="6"/>
    <x v="49"/>
    <x v="81"/>
    <x v="48"/>
    <x v="2"/>
    <x v="4"/>
    <x v="3"/>
    <x v="0"/>
    <x v="42"/>
    <x v="4"/>
  </r>
  <r>
    <x v="26"/>
    <x v="6"/>
    <x v="95"/>
    <x v="129"/>
    <x v="51"/>
    <x v="6"/>
    <x v="4"/>
    <x v="6"/>
    <x v="0"/>
    <x v="45"/>
    <x v="4"/>
  </r>
  <r>
    <x v="26"/>
    <x v="6"/>
    <x v="26"/>
    <x v="46"/>
    <x v="5"/>
    <x v="2"/>
    <x v="8"/>
    <x v="10"/>
    <x v="0"/>
    <x v="45"/>
    <x v="8"/>
  </r>
  <r>
    <x v="26"/>
    <x v="6"/>
    <x v="26"/>
    <x v="46"/>
    <x v="5"/>
    <x v="2"/>
    <x v="12"/>
    <x v="12"/>
    <x v="0"/>
    <x v="45"/>
    <x v="11"/>
  </r>
  <r>
    <x v="26"/>
    <x v="6"/>
    <x v="30"/>
    <x v="40"/>
    <x v="6"/>
    <x v="2"/>
    <x v="29"/>
    <x v="12"/>
    <x v="0"/>
    <x v="14"/>
    <x v="24"/>
  </r>
  <r>
    <x v="26"/>
    <x v="6"/>
    <x v="58"/>
    <x v="129"/>
    <x v="51"/>
    <x v="6"/>
    <x v="16"/>
    <x v="18"/>
    <x v="0"/>
    <x v="45"/>
    <x v="14"/>
  </r>
  <r>
    <x v="26"/>
    <x v="6"/>
    <x v="119"/>
    <x v="129"/>
    <x v="51"/>
    <x v="6"/>
    <x v="4"/>
    <x v="10"/>
    <x v="0"/>
    <x v="38"/>
    <x v="4"/>
  </r>
  <r>
    <x v="26"/>
    <x v="6"/>
    <x v="106"/>
    <x v="129"/>
    <x v="51"/>
    <x v="6"/>
    <x v="10"/>
    <x v="14"/>
    <x v="0"/>
    <x v="33"/>
    <x v="10"/>
  </r>
  <r>
    <x v="26"/>
    <x v="6"/>
    <x v="91"/>
    <x v="58"/>
    <x v="13"/>
    <x v="2"/>
    <x v="4"/>
    <x v="10"/>
    <x v="3"/>
    <x v="33"/>
    <x v="4"/>
  </r>
  <r>
    <x v="26"/>
    <x v="6"/>
    <x v="6"/>
    <x v="129"/>
    <x v="51"/>
    <x v="6"/>
    <x v="9"/>
    <x v="10"/>
    <x v="0"/>
    <x v="45"/>
    <x v="9"/>
  </r>
  <r>
    <x v="26"/>
    <x v="6"/>
    <x v="93"/>
    <x v="74"/>
    <x v="32"/>
    <x v="3"/>
    <x v="60"/>
    <x v="20"/>
    <x v="0"/>
    <x v="45"/>
    <x v="50"/>
  </r>
  <r>
    <x v="26"/>
    <x v="6"/>
    <x v="108"/>
    <x v="125"/>
    <x v="37"/>
    <x v="5"/>
    <x v="8"/>
    <x v="10"/>
    <x v="0"/>
    <x v="33"/>
    <x v="8"/>
  </r>
  <r>
    <x v="26"/>
    <x v="6"/>
    <x v="103"/>
    <x v="129"/>
    <x v="51"/>
    <x v="6"/>
    <x v="21"/>
    <x v="16"/>
    <x v="0"/>
    <x v="45"/>
    <x v="18"/>
  </r>
  <r>
    <x v="26"/>
    <x v="6"/>
    <x v="50"/>
    <x v="87"/>
    <x v="3"/>
    <x v="2"/>
    <x v="4"/>
    <x v="8"/>
    <x v="0"/>
    <x v="45"/>
    <x v="4"/>
  </r>
  <r>
    <x v="26"/>
    <x v="6"/>
    <x v="48"/>
    <x v="28"/>
    <x v="24"/>
    <x v="3"/>
    <x v="16"/>
    <x v="16"/>
    <x v="0"/>
    <x v="45"/>
    <x v="14"/>
  </r>
  <r>
    <x v="26"/>
    <x v="6"/>
    <x v="110"/>
    <x v="24"/>
    <x v="14"/>
    <x v="2"/>
    <x v="4"/>
    <x v="6"/>
    <x v="0"/>
    <x v="39"/>
    <x v="4"/>
  </r>
  <r>
    <x v="26"/>
    <x v="6"/>
    <x v="86"/>
    <x v="0"/>
    <x v="0"/>
    <x v="3"/>
    <x v="5"/>
    <x v="10"/>
    <x v="0"/>
    <x v="38"/>
    <x v="6"/>
  </r>
  <r>
    <x v="26"/>
    <x v="6"/>
    <x v="122"/>
    <x v="76"/>
    <x v="27"/>
    <x v="3"/>
    <x v="16"/>
    <x v="14"/>
    <x v="0"/>
    <x v="33"/>
    <x v="14"/>
  </r>
  <r>
    <x v="26"/>
    <x v="6"/>
    <x v="62"/>
    <x v="129"/>
    <x v="51"/>
    <x v="6"/>
    <x v="18"/>
    <x v="15"/>
    <x v="0"/>
    <x v="33"/>
    <x v="16"/>
  </r>
  <r>
    <x v="26"/>
    <x v="6"/>
    <x v="119"/>
    <x v="129"/>
    <x v="51"/>
    <x v="6"/>
    <x v="4"/>
    <x v="10"/>
    <x v="2"/>
    <x v="38"/>
    <x v="4"/>
  </r>
  <r>
    <x v="26"/>
    <x v="6"/>
    <x v="95"/>
    <x v="129"/>
    <x v="44"/>
    <x v="3"/>
    <x v="5"/>
    <x v="10"/>
    <x v="0"/>
    <x v="45"/>
    <x v="6"/>
  </r>
  <r>
    <x v="26"/>
    <x v="6"/>
    <x v="122"/>
    <x v="76"/>
    <x v="27"/>
    <x v="3"/>
    <x v="5"/>
    <x v="13"/>
    <x v="0"/>
    <x v="33"/>
    <x v="6"/>
  </r>
  <r>
    <x v="26"/>
    <x v="6"/>
    <x v="130"/>
    <x v="129"/>
    <x v="51"/>
    <x v="6"/>
    <x v="75"/>
    <x v="24"/>
    <x v="0"/>
    <x v="45"/>
    <x v="61"/>
  </r>
  <r>
    <x v="26"/>
    <x v="6"/>
    <x v="74"/>
    <x v="129"/>
    <x v="51"/>
    <x v="6"/>
    <x v="51"/>
    <x v="23"/>
    <x v="0"/>
    <x v="33"/>
    <x v="42"/>
  </r>
  <r>
    <x v="26"/>
    <x v="6"/>
    <x v="78"/>
    <x v="129"/>
    <x v="31"/>
    <x v="3"/>
    <x v="22"/>
    <x v="17"/>
    <x v="0"/>
    <x v="37"/>
    <x v="19"/>
  </r>
  <r>
    <x v="26"/>
    <x v="6"/>
    <x v="121"/>
    <x v="129"/>
    <x v="51"/>
    <x v="6"/>
    <x v="4"/>
    <x v="3"/>
    <x v="0"/>
    <x v="41"/>
    <x v="4"/>
  </r>
  <r>
    <x v="26"/>
    <x v="6"/>
    <x v="136"/>
    <x v="117"/>
    <x v="37"/>
    <x v="2"/>
    <x v="13"/>
    <x v="15"/>
    <x v="0"/>
    <x v="45"/>
    <x v="12"/>
  </r>
  <r>
    <x v="26"/>
    <x v="6"/>
    <x v="136"/>
    <x v="117"/>
    <x v="37"/>
    <x v="2"/>
    <x v="4"/>
    <x v="12"/>
    <x v="0"/>
    <x v="45"/>
    <x v="4"/>
  </r>
  <r>
    <x v="27"/>
    <x v="6"/>
    <x v="104"/>
    <x v="48"/>
    <x v="5"/>
    <x v="3"/>
    <x v="34"/>
    <x v="10"/>
    <x v="0"/>
    <x v="26"/>
    <x v="28"/>
  </r>
  <r>
    <x v="27"/>
    <x v="6"/>
    <x v="106"/>
    <x v="129"/>
    <x v="51"/>
    <x v="6"/>
    <x v="8"/>
    <x v="13"/>
    <x v="0"/>
    <x v="33"/>
    <x v="8"/>
  </r>
  <r>
    <x v="27"/>
    <x v="6"/>
    <x v="71"/>
    <x v="15"/>
    <x v="34"/>
    <x v="2"/>
    <x v="4"/>
    <x v="6"/>
    <x v="2"/>
    <x v="33"/>
    <x v="4"/>
  </r>
  <r>
    <x v="27"/>
    <x v="6"/>
    <x v="91"/>
    <x v="129"/>
    <x v="51"/>
    <x v="6"/>
    <x v="4"/>
    <x v="10"/>
    <x v="2"/>
    <x v="33"/>
    <x v="4"/>
  </r>
  <r>
    <x v="27"/>
    <x v="6"/>
    <x v="137"/>
    <x v="129"/>
    <x v="51"/>
    <x v="6"/>
    <x v="4"/>
    <x v="8"/>
    <x v="0"/>
    <x v="33"/>
    <x v="4"/>
  </r>
  <r>
    <x v="27"/>
    <x v="6"/>
    <x v="119"/>
    <x v="129"/>
    <x v="51"/>
    <x v="6"/>
    <x v="8"/>
    <x v="14"/>
    <x v="0"/>
    <x v="38"/>
    <x v="8"/>
  </r>
  <r>
    <x v="27"/>
    <x v="6"/>
    <x v="93"/>
    <x v="74"/>
    <x v="32"/>
    <x v="3"/>
    <x v="12"/>
    <x v="13"/>
    <x v="3"/>
    <x v="45"/>
    <x v="11"/>
  </r>
  <r>
    <x v="27"/>
    <x v="6"/>
    <x v="90"/>
    <x v="129"/>
    <x v="51"/>
    <x v="6"/>
    <x v="4"/>
    <x v="3"/>
    <x v="3"/>
    <x v="33"/>
    <x v="4"/>
  </r>
  <r>
    <x v="27"/>
    <x v="6"/>
    <x v="86"/>
    <x v="0"/>
    <x v="0"/>
    <x v="3"/>
    <x v="10"/>
    <x v="13"/>
    <x v="0"/>
    <x v="38"/>
    <x v="10"/>
  </r>
  <r>
    <x v="27"/>
    <x v="6"/>
    <x v="108"/>
    <x v="129"/>
    <x v="51"/>
    <x v="6"/>
    <x v="16"/>
    <x v="14"/>
    <x v="0"/>
    <x v="33"/>
    <x v="14"/>
  </r>
  <r>
    <x v="27"/>
    <x v="6"/>
    <x v="24"/>
    <x v="26"/>
    <x v="41"/>
    <x v="2"/>
    <x v="9"/>
    <x v="14"/>
    <x v="0"/>
    <x v="33"/>
    <x v="9"/>
  </r>
  <r>
    <x v="27"/>
    <x v="6"/>
    <x v="78"/>
    <x v="129"/>
    <x v="31"/>
    <x v="3"/>
    <x v="13"/>
    <x v="12"/>
    <x v="3"/>
    <x v="37"/>
    <x v="12"/>
  </r>
  <r>
    <x v="27"/>
    <x v="6"/>
    <x v="103"/>
    <x v="129"/>
    <x v="51"/>
    <x v="6"/>
    <x v="17"/>
    <x v="13"/>
    <x v="3"/>
    <x v="33"/>
    <x v="15"/>
  </r>
  <r>
    <x v="27"/>
    <x v="6"/>
    <x v="50"/>
    <x v="129"/>
    <x v="42"/>
    <x v="3"/>
    <x v="4"/>
    <x v="8"/>
    <x v="0"/>
    <x v="45"/>
    <x v="4"/>
  </r>
  <r>
    <x v="27"/>
    <x v="6"/>
    <x v="30"/>
    <x v="40"/>
    <x v="6"/>
    <x v="2"/>
    <x v="4"/>
    <x v="8"/>
    <x v="0"/>
    <x v="14"/>
    <x v="4"/>
  </r>
  <r>
    <x v="27"/>
    <x v="6"/>
    <x v="125"/>
    <x v="64"/>
    <x v="7"/>
    <x v="3"/>
    <x v="4"/>
    <x v="6"/>
    <x v="2"/>
    <x v="2"/>
    <x v="4"/>
  </r>
  <r>
    <x v="27"/>
    <x v="6"/>
    <x v="74"/>
    <x v="129"/>
    <x v="31"/>
    <x v="3"/>
    <x v="10"/>
    <x v="13"/>
    <x v="0"/>
    <x v="33"/>
    <x v="10"/>
  </r>
  <r>
    <x v="27"/>
    <x v="6"/>
    <x v="91"/>
    <x v="129"/>
    <x v="51"/>
    <x v="6"/>
    <x v="8"/>
    <x v="10"/>
    <x v="3"/>
    <x v="33"/>
    <x v="8"/>
  </r>
  <r>
    <x v="27"/>
    <x v="6"/>
    <x v="106"/>
    <x v="129"/>
    <x v="51"/>
    <x v="6"/>
    <x v="20"/>
    <x v="13"/>
    <x v="0"/>
    <x v="33"/>
    <x v="17"/>
  </r>
  <r>
    <x v="27"/>
    <x v="6"/>
    <x v="136"/>
    <x v="118"/>
    <x v="37"/>
    <x v="3"/>
    <x v="5"/>
    <x v="12"/>
    <x v="5"/>
    <x v="45"/>
    <x v="6"/>
  </r>
  <r>
    <x v="27"/>
    <x v="6"/>
    <x v="54"/>
    <x v="71"/>
    <x v="10"/>
    <x v="3"/>
    <x v="4"/>
    <x v="10"/>
    <x v="2"/>
    <x v="45"/>
    <x v="4"/>
  </r>
  <r>
    <x v="27"/>
    <x v="6"/>
    <x v="48"/>
    <x v="129"/>
    <x v="51"/>
    <x v="6"/>
    <x v="5"/>
    <x v="12"/>
    <x v="0"/>
    <x v="45"/>
    <x v="6"/>
  </r>
  <r>
    <x v="27"/>
    <x v="6"/>
    <x v="104"/>
    <x v="43"/>
    <x v="5"/>
    <x v="5"/>
    <x v="70"/>
    <x v="16"/>
    <x v="0"/>
    <x v="26"/>
    <x v="58"/>
  </r>
  <r>
    <x v="27"/>
    <x v="6"/>
    <x v="119"/>
    <x v="129"/>
    <x v="1"/>
    <x v="3"/>
    <x v="42"/>
    <x v="16"/>
    <x v="0"/>
    <x v="38"/>
    <x v="35"/>
  </r>
  <r>
    <x v="27"/>
    <x v="6"/>
    <x v="119"/>
    <x v="129"/>
    <x v="1"/>
    <x v="3"/>
    <x v="9"/>
    <x v="10"/>
    <x v="0"/>
    <x v="38"/>
    <x v="9"/>
  </r>
  <r>
    <x v="27"/>
    <x v="6"/>
    <x v="14"/>
    <x v="129"/>
    <x v="51"/>
    <x v="6"/>
    <x v="9"/>
    <x v="12"/>
    <x v="0"/>
    <x v="45"/>
    <x v="9"/>
  </r>
  <r>
    <x v="27"/>
    <x v="6"/>
    <x v="71"/>
    <x v="129"/>
    <x v="51"/>
    <x v="6"/>
    <x v="4"/>
    <x v="8"/>
    <x v="2"/>
    <x v="33"/>
    <x v="4"/>
  </r>
  <r>
    <x v="27"/>
    <x v="6"/>
    <x v="136"/>
    <x v="117"/>
    <x v="37"/>
    <x v="2"/>
    <x v="5"/>
    <x v="12"/>
    <x v="3"/>
    <x v="45"/>
    <x v="6"/>
  </r>
  <r>
    <x v="27"/>
    <x v="6"/>
    <x v="90"/>
    <x v="14"/>
    <x v="10"/>
    <x v="3"/>
    <x v="4"/>
    <x v="10"/>
    <x v="0"/>
    <x v="33"/>
    <x v="4"/>
  </r>
  <r>
    <x v="27"/>
    <x v="6"/>
    <x v="102"/>
    <x v="129"/>
    <x v="51"/>
    <x v="6"/>
    <x v="9"/>
    <x v="12"/>
    <x v="0"/>
    <x v="33"/>
    <x v="9"/>
  </r>
  <r>
    <x v="27"/>
    <x v="6"/>
    <x v="25"/>
    <x v="129"/>
    <x v="51"/>
    <x v="6"/>
    <x v="12"/>
    <x v="14"/>
    <x v="0"/>
    <x v="38"/>
    <x v="11"/>
  </r>
  <r>
    <x v="27"/>
    <x v="6"/>
    <x v="25"/>
    <x v="129"/>
    <x v="51"/>
    <x v="6"/>
    <x v="9"/>
    <x v="12"/>
    <x v="0"/>
    <x v="38"/>
    <x v="9"/>
  </r>
  <r>
    <x v="27"/>
    <x v="6"/>
    <x v="86"/>
    <x v="0"/>
    <x v="0"/>
    <x v="3"/>
    <x v="4"/>
    <x v="13"/>
    <x v="3"/>
    <x v="38"/>
    <x v="4"/>
  </r>
  <r>
    <x v="27"/>
    <x v="6"/>
    <x v="136"/>
    <x v="118"/>
    <x v="37"/>
    <x v="3"/>
    <x v="4"/>
    <x v="10"/>
    <x v="3"/>
    <x v="45"/>
    <x v="4"/>
  </r>
  <r>
    <x v="27"/>
    <x v="6"/>
    <x v="104"/>
    <x v="48"/>
    <x v="5"/>
    <x v="3"/>
    <x v="21"/>
    <x v="10"/>
    <x v="0"/>
    <x v="26"/>
    <x v="18"/>
  </r>
  <r>
    <x v="27"/>
    <x v="6"/>
    <x v="122"/>
    <x v="101"/>
    <x v="47"/>
    <x v="3"/>
    <x v="8"/>
    <x v="10"/>
    <x v="0"/>
    <x v="33"/>
    <x v="8"/>
  </r>
  <r>
    <x v="27"/>
    <x v="6"/>
    <x v="44"/>
    <x v="129"/>
    <x v="31"/>
    <x v="3"/>
    <x v="22"/>
    <x v="14"/>
    <x v="0"/>
    <x v="45"/>
    <x v="19"/>
  </r>
  <r>
    <x v="27"/>
    <x v="6"/>
    <x v="57"/>
    <x v="44"/>
    <x v="5"/>
    <x v="2"/>
    <x v="48"/>
    <x v="12"/>
    <x v="0"/>
    <x v="26"/>
    <x v="40"/>
  </r>
  <r>
    <x v="27"/>
    <x v="6"/>
    <x v="113"/>
    <x v="10"/>
    <x v="0"/>
    <x v="2"/>
    <x v="18"/>
    <x v="13"/>
    <x v="0"/>
    <x v="45"/>
    <x v="16"/>
  </r>
  <r>
    <x v="27"/>
    <x v="6"/>
    <x v="106"/>
    <x v="129"/>
    <x v="51"/>
    <x v="6"/>
    <x v="29"/>
    <x v="14"/>
    <x v="0"/>
    <x v="33"/>
    <x v="24"/>
  </r>
  <r>
    <x v="27"/>
    <x v="6"/>
    <x v="40"/>
    <x v="129"/>
    <x v="31"/>
    <x v="3"/>
    <x v="4"/>
    <x v="8"/>
    <x v="3"/>
    <x v="39"/>
    <x v="4"/>
  </r>
  <r>
    <x v="27"/>
    <x v="6"/>
    <x v="50"/>
    <x v="129"/>
    <x v="51"/>
    <x v="6"/>
    <x v="4"/>
    <x v="6"/>
    <x v="0"/>
    <x v="45"/>
    <x v="4"/>
  </r>
  <r>
    <x v="27"/>
    <x v="6"/>
    <x v="104"/>
    <x v="45"/>
    <x v="5"/>
    <x v="4"/>
    <x v="21"/>
    <x v="10"/>
    <x v="0"/>
    <x v="26"/>
    <x v="18"/>
  </r>
  <r>
    <x v="27"/>
    <x v="6"/>
    <x v="108"/>
    <x v="129"/>
    <x v="51"/>
    <x v="6"/>
    <x v="27"/>
    <x v="16"/>
    <x v="0"/>
    <x v="33"/>
    <x v="23"/>
  </r>
  <r>
    <x v="27"/>
    <x v="6"/>
    <x v="119"/>
    <x v="129"/>
    <x v="1"/>
    <x v="3"/>
    <x v="8"/>
    <x v="12"/>
    <x v="0"/>
    <x v="38"/>
    <x v="8"/>
  </r>
  <r>
    <x v="27"/>
    <x v="6"/>
    <x v="10"/>
    <x v="129"/>
    <x v="51"/>
    <x v="6"/>
    <x v="75"/>
    <x v="24"/>
    <x v="3"/>
    <x v="45"/>
    <x v="61"/>
  </r>
  <r>
    <x v="27"/>
    <x v="6"/>
    <x v="119"/>
    <x v="25"/>
    <x v="8"/>
    <x v="3"/>
    <x v="10"/>
    <x v="14"/>
    <x v="0"/>
    <x v="38"/>
    <x v="10"/>
  </r>
  <r>
    <x v="28"/>
    <x v="4"/>
    <x v="100"/>
    <x v="96"/>
    <x v="49"/>
    <x v="2"/>
    <x v="8"/>
    <x v="3"/>
    <x v="0"/>
    <x v="24"/>
    <x v="8"/>
  </r>
  <r>
    <x v="28"/>
    <x v="4"/>
    <x v="104"/>
    <x v="45"/>
    <x v="5"/>
    <x v="4"/>
    <x v="8"/>
    <x v="8"/>
    <x v="0"/>
    <x v="26"/>
    <x v="8"/>
  </r>
  <r>
    <x v="28"/>
    <x v="4"/>
    <x v="30"/>
    <x v="40"/>
    <x v="6"/>
    <x v="2"/>
    <x v="20"/>
    <x v="13"/>
    <x v="0"/>
    <x v="14"/>
    <x v="17"/>
  </r>
  <r>
    <x v="28"/>
    <x v="4"/>
    <x v="6"/>
    <x v="21"/>
    <x v="42"/>
    <x v="3"/>
    <x v="4"/>
    <x v="8"/>
    <x v="2"/>
    <x v="45"/>
    <x v="4"/>
  </r>
  <r>
    <x v="28"/>
    <x v="4"/>
    <x v="119"/>
    <x v="129"/>
    <x v="51"/>
    <x v="6"/>
    <x v="4"/>
    <x v="13"/>
    <x v="0"/>
    <x v="38"/>
    <x v="4"/>
  </r>
  <r>
    <x v="28"/>
    <x v="4"/>
    <x v="30"/>
    <x v="40"/>
    <x v="6"/>
    <x v="2"/>
    <x v="4"/>
    <x v="10"/>
    <x v="0"/>
    <x v="14"/>
    <x v="4"/>
  </r>
  <r>
    <x v="28"/>
    <x v="4"/>
    <x v="30"/>
    <x v="40"/>
    <x v="6"/>
    <x v="2"/>
    <x v="12"/>
    <x v="13"/>
    <x v="0"/>
    <x v="14"/>
    <x v="11"/>
  </r>
  <r>
    <x v="28"/>
    <x v="4"/>
    <x v="6"/>
    <x v="21"/>
    <x v="42"/>
    <x v="3"/>
    <x v="4"/>
    <x v="8"/>
    <x v="3"/>
    <x v="45"/>
    <x v="4"/>
  </r>
  <r>
    <x v="28"/>
    <x v="4"/>
    <x v="86"/>
    <x v="129"/>
    <x v="51"/>
    <x v="6"/>
    <x v="30"/>
    <x v="14"/>
    <x v="0"/>
    <x v="38"/>
    <x v="25"/>
  </r>
  <r>
    <x v="28"/>
    <x v="4"/>
    <x v="30"/>
    <x v="40"/>
    <x v="6"/>
    <x v="2"/>
    <x v="4"/>
    <x v="10"/>
    <x v="0"/>
    <x v="14"/>
    <x v="4"/>
  </r>
  <r>
    <x v="28"/>
    <x v="4"/>
    <x v="90"/>
    <x v="129"/>
    <x v="51"/>
    <x v="6"/>
    <x v="9"/>
    <x v="13"/>
    <x v="0"/>
    <x v="33"/>
    <x v="9"/>
  </r>
  <r>
    <x v="28"/>
    <x v="4"/>
    <x v="108"/>
    <x v="125"/>
    <x v="37"/>
    <x v="5"/>
    <x v="4"/>
    <x v="8"/>
    <x v="0"/>
    <x v="33"/>
    <x v="4"/>
  </r>
  <r>
    <x v="28"/>
    <x v="4"/>
    <x v="40"/>
    <x v="129"/>
    <x v="51"/>
    <x v="6"/>
    <x v="4"/>
    <x v="10"/>
    <x v="0"/>
    <x v="39"/>
    <x v="4"/>
  </r>
  <r>
    <x v="28"/>
    <x v="4"/>
    <x v="54"/>
    <x v="129"/>
    <x v="51"/>
    <x v="6"/>
    <x v="10"/>
    <x v="12"/>
    <x v="0"/>
    <x v="45"/>
    <x v="10"/>
  </r>
  <r>
    <x v="28"/>
    <x v="4"/>
    <x v="86"/>
    <x v="129"/>
    <x v="51"/>
    <x v="6"/>
    <x v="13"/>
    <x v="16"/>
    <x v="3"/>
    <x v="38"/>
    <x v="12"/>
  </r>
  <r>
    <x v="28"/>
    <x v="4"/>
    <x v="108"/>
    <x v="125"/>
    <x v="37"/>
    <x v="5"/>
    <x v="17"/>
    <x v="16"/>
    <x v="0"/>
    <x v="33"/>
    <x v="15"/>
  </r>
  <r>
    <x v="28"/>
    <x v="4"/>
    <x v="122"/>
    <x v="129"/>
    <x v="51"/>
    <x v="6"/>
    <x v="4"/>
    <x v="8"/>
    <x v="0"/>
    <x v="33"/>
    <x v="4"/>
  </r>
  <r>
    <x v="28"/>
    <x v="4"/>
    <x v="122"/>
    <x v="129"/>
    <x v="51"/>
    <x v="6"/>
    <x v="17"/>
    <x v="13"/>
    <x v="0"/>
    <x v="33"/>
    <x v="15"/>
  </r>
  <r>
    <x v="28"/>
    <x v="4"/>
    <x v="61"/>
    <x v="123"/>
    <x v="15"/>
    <x v="3"/>
    <x v="138"/>
    <x v="23"/>
    <x v="0"/>
    <x v="33"/>
    <x v="116"/>
  </r>
  <r>
    <x v="28"/>
    <x v="4"/>
    <x v="26"/>
    <x v="46"/>
    <x v="5"/>
    <x v="2"/>
    <x v="4"/>
    <x v="6"/>
    <x v="0"/>
    <x v="45"/>
    <x v="4"/>
  </r>
  <r>
    <x v="28"/>
    <x v="4"/>
    <x v="111"/>
    <x v="57"/>
    <x v="42"/>
    <x v="2"/>
    <x v="4"/>
    <x v="8"/>
    <x v="0"/>
    <x v="33"/>
    <x v="4"/>
  </r>
  <r>
    <x v="28"/>
    <x v="4"/>
    <x v="134"/>
    <x v="13"/>
    <x v="29"/>
    <x v="5"/>
    <x v="9"/>
    <x v="10"/>
    <x v="0"/>
    <x v="45"/>
    <x v="9"/>
  </r>
  <r>
    <x v="28"/>
    <x v="4"/>
    <x v="71"/>
    <x v="15"/>
    <x v="34"/>
    <x v="2"/>
    <x v="4"/>
    <x v="10"/>
    <x v="0"/>
    <x v="33"/>
    <x v="4"/>
  </r>
  <r>
    <x v="28"/>
    <x v="4"/>
    <x v="30"/>
    <x v="40"/>
    <x v="6"/>
    <x v="2"/>
    <x v="12"/>
    <x v="13"/>
    <x v="0"/>
    <x v="14"/>
    <x v="11"/>
  </r>
  <r>
    <x v="28"/>
    <x v="4"/>
    <x v="71"/>
    <x v="16"/>
    <x v="34"/>
    <x v="2"/>
    <x v="5"/>
    <x v="12"/>
    <x v="0"/>
    <x v="33"/>
    <x v="6"/>
  </r>
  <r>
    <x v="28"/>
    <x v="4"/>
    <x v="30"/>
    <x v="40"/>
    <x v="6"/>
    <x v="2"/>
    <x v="4"/>
    <x v="10"/>
    <x v="0"/>
    <x v="14"/>
    <x v="4"/>
  </r>
  <r>
    <x v="28"/>
    <x v="4"/>
    <x v="71"/>
    <x v="129"/>
    <x v="51"/>
    <x v="6"/>
    <x v="10"/>
    <x v="12"/>
    <x v="0"/>
    <x v="33"/>
    <x v="10"/>
  </r>
  <r>
    <x v="28"/>
    <x v="4"/>
    <x v="71"/>
    <x v="129"/>
    <x v="51"/>
    <x v="6"/>
    <x v="14"/>
    <x v="12"/>
    <x v="0"/>
    <x v="33"/>
    <x v="13"/>
  </r>
  <r>
    <x v="28"/>
    <x v="4"/>
    <x v="54"/>
    <x v="56"/>
    <x v="42"/>
    <x v="3"/>
    <x v="4"/>
    <x v="6"/>
    <x v="0"/>
    <x v="45"/>
    <x v="4"/>
  </r>
  <r>
    <x v="28"/>
    <x v="4"/>
    <x v="130"/>
    <x v="129"/>
    <x v="51"/>
    <x v="6"/>
    <x v="33"/>
    <x v="18"/>
    <x v="0"/>
    <x v="45"/>
    <x v="27"/>
  </r>
  <r>
    <x v="28"/>
    <x v="4"/>
    <x v="130"/>
    <x v="129"/>
    <x v="51"/>
    <x v="6"/>
    <x v="94"/>
    <x v="23"/>
    <x v="0"/>
    <x v="45"/>
    <x v="76"/>
  </r>
  <r>
    <x v="28"/>
    <x v="4"/>
    <x v="93"/>
    <x v="73"/>
    <x v="32"/>
    <x v="2"/>
    <x v="18"/>
    <x v="13"/>
    <x v="0"/>
    <x v="45"/>
    <x v="16"/>
  </r>
  <r>
    <x v="28"/>
    <x v="4"/>
    <x v="71"/>
    <x v="129"/>
    <x v="51"/>
    <x v="6"/>
    <x v="9"/>
    <x v="8"/>
    <x v="0"/>
    <x v="33"/>
    <x v="9"/>
  </r>
  <r>
    <x v="28"/>
    <x v="4"/>
    <x v="30"/>
    <x v="40"/>
    <x v="6"/>
    <x v="2"/>
    <x v="8"/>
    <x v="10"/>
    <x v="0"/>
    <x v="14"/>
    <x v="8"/>
  </r>
  <r>
    <x v="28"/>
    <x v="4"/>
    <x v="14"/>
    <x v="129"/>
    <x v="51"/>
    <x v="6"/>
    <x v="10"/>
    <x v="13"/>
    <x v="0"/>
    <x v="45"/>
    <x v="10"/>
  </r>
  <r>
    <x v="28"/>
    <x v="4"/>
    <x v="74"/>
    <x v="57"/>
    <x v="42"/>
    <x v="2"/>
    <x v="12"/>
    <x v="12"/>
    <x v="0"/>
    <x v="33"/>
    <x v="11"/>
  </r>
  <r>
    <x v="28"/>
    <x v="4"/>
    <x v="30"/>
    <x v="40"/>
    <x v="6"/>
    <x v="2"/>
    <x v="9"/>
    <x v="12"/>
    <x v="0"/>
    <x v="14"/>
    <x v="9"/>
  </r>
  <r>
    <x v="28"/>
    <x v="4"/>
    <x v="40"/>
    <x v="36"/>
    <x v="17"/>
    <x v="3"/>
    <x v="4"/>
    <x v="8"/>
    <x v="0"/>
    <x v="39"/>
    <x v="4"/>
  </r>
  <r>
    <x v="28"/>
    <x v="4"/>
    <x v="74"/>
    <x v="57"/>
    <x v="42"/>
    <x v="2"/>
    <x v="10"/>
    <x v="12"/>
    <x v="3"/>
    <x v="33"/>
    <x v="10"/>
  </r>
  <r>
    <x v="28"/>
    <x v="4"/>
    <x v="137"/>
    <x v="129"/>
    <x v="45"/>
    <x v="3"/>
    <x v="5"/>
    <x v="10"/>
    <x v="3"/>
    <x v="33"/>
    <x v="6"/>
  </r>
  <r>
    <x v="28"/>
    <x v="4"/>
    <x v="96"/>
    <x v="127"/>
    <x v="1"/>
    <x v="3"/>
    <x v="37"/>
    <x v="20"/>
    <x v="0"/>
    <x v="2"/>
    <x v="30"/>
  </r>
  <r>
    <x v="28"/>
    <x v="4"/>
    <x v="122"/>
    <x v="76"/>
    <x v="27"/>
    <x v="3"/>
    <x v="9"/>
    <x v="10"/>
    <x v="0"/>
    <x v="33"/>
    <x v="9"/>
  </r>
  <r>
    <x v="28"/>
    <x v="4"/>
    <x v="57"/>
    <x v="44"/>
    <x v="5"/>
    <x v="2"/>
    <x v="1"/>
    <x v="13"/>
    <x v="0"/>
    <x v="26"/>
    <x v="1"/>
  </r>
  <r>
    <x v="28"/>
    <x v="4"/>
    <x v="57"/>
    <x v="44"/>
    <x v="5"/>
    <x v="2"/>
    <x v="24"/>
    <x v="10"/>
    <x v="0"/>
    <x v="26"/>
    <x v="20"/>
  </r>
  <r>
    <x v="28"/>
    <x v="4"/>
    <x v="30"/>
    <x v="40"/>
    <x v="6"/>
    <x v="2"/>
    <x v="4"/>
    <x v="10"/>
    <x v="0"/>
    <x v="14"/>
    <x v="4"/>
  </r>
  <r>
    <x v="28"/>
    <x v="4"/>
    <x v="30"/>
    <x v="40"/>
    <x v="6"/>
    <x v="2"/>
    <x v="4"/>
    <x v="8"/>
    <x v="0"/>
    <x v="14"/>
    <x v="4"/>
  </r>
  <r>
    <x v="28"/>
    <x v="4"/>
    <x v="122"/>
    <x v="76"/>
    <x v="27"/>
    <x v="3"/>
    <x v="4"/>
    <x v="8"/>
    <x v="0"/>
    <x v="33"/>
    <x v="4"/>
  </r>
  <r>
    <x v="28"/>
    <x v="4"/>
    <x v="108"/>
    <x v="125"/>
    <x v="37"/>
    <x v="5"/>
    <x v="4"/>
    <x v="6"/>
    <x v="0"/>
    <x v="33"/>
    <x v="4"/>
  </r>
  <r>
    <x v="28"/>
    <x v="4"/>
    <x v="78"/>
    <x v="2"/>
    <x v="31"/>
    <x v="2"/>
    <x v="8"/>
    <x v="10"/>
    <x v="0"/>
    <x v="37"/>
    <x v="8"/>
  </r>
  <r>
    <x v="28"/>
    <x v="4"/>
    <x v="129"/>
    <x v="69"/>
    <x v="45"/>
    <x v="3"/>
    <x v="4"/>
    <x v="10"/>
    <x v="3"/>
    <x v="33"/>
    <x v="4"/>
  </r>
  <r>
    <x v="28"/>
    <x v="4"/>
    <x v="30"/>
    <x v="40"/>
    <x v="6"/>
    <x v="2"/>
    <x v="10"/>
    <x v="13"/>
    <x v="0"/>
    <x v="14"/>
    <x v="10"/>
  </r>
  <r>
    <x v="28"/>
    <x v="4"/>
    <x v="71"/>
    <x v="129"/>
    <x v="51"/>
    <x v="6"/>
    <x v="4"/>
    <x v="10"/>
    <x v="3"/>
    <x v="33"/>
    <x v="4"/>
  </r>
  <r>
    <x v="28"/>
    <x v="4"/>
    <x v="40"/>
    <x v="36"/>
    <x v="17"/>
    <x v="3"/>
    <x v="4"/>
    <x v="8"/>
    <x v="3"/>
    <x v="39"/>
    <x v="4"/>
  </r>
  <r>
    <x v="28"/>
    <x v="4"/>
    <x v="44"/>
    <x v="51"/>
    <x v="19"/>
    <x v="3"/>
    <x v="10"/>
    <x v="10"/>
    <x v="3"/>
    <x v="45"/>
    <x v="10"/>
  </r>
  <r>
    <x v="28"/>
    <x v="4"/>
    <x v="104"/>
    <x v="48"/>
    <x v="5"/>
    <x v="3"/>
    <x v="81"/>
    <x v="18"/>
    <x v="0"/>
    <x v="26"/>
    <x v="66"/>
  </r>
  <r>
    <x v="28"/>
    <x v="4"/>
    <x v="119"/>
    <x v="25"/>
    <x v="8"/>
    <x v="3"/>
    <x v="8"/>
    <x v="12"/>
    <x v="0"/>
    <x v="38"/>
    <x v="8"/>
  </r>
  <r>
    <x v="28"/>
    <x v="4"/>
    <x v="103"/>
    <x v="129"/>
    <x v="51"/>
    <x v="6"/>
    <x v="9"/>
    <x v="12"/>
    <x v="0"/>
    <x v="33"/>
    <x v="9"/>
  </r>
  <r>
    <x v="28"/>
    <x v="4"/>
    <x v="57"/>
    <x v="44"/>
    <x v="5"/>
    <x v="2"/>
    <x v="27"/>
    <x v="6"/>
    <x v="0"/>
    <x v="26"/>
    <x v="23"/>
  </r>
  <r>
    <x v="28"/>
    <x v="4"/>
    <x v="104"/>
    <x v="47"/>
    <x v="5"/>
    <x v="5"/>
    <x v="99"/>
    <x v="16"/>
    <x v="0"/>
    <x v="26"/>
    <x v="81"/>
  </r>
  <r>
    <x v="28"/>
    <x v="4"/>
    <x v="100"/>
    <x v="96"/>
    <x v="49"/>
    <x v="2"/>
    <x v="8"/>
    <x v="6"/>
    <x v="0"/>
    <x v="24"/>
    <x v="8"/>
  </r>
  <r>
    <x v="28"/>
    <x v="4"/>
    <x v="104"/>
    <x v="45"/>
    <x v="5"/>
    <x v="4"/>
    <x v="8"/>
    <x v="8"/>
    <x v="0"/>
    <x v="26"/>
    <x v="8"/>
  </r>
  <r>
    <x v="28"/>
    <x v="4"/>
    <x v="7"/>
    <x v="115"/>
    <x v="31"/>
    <x v="2"/>
    <x v="4"/>
    <x v="6"/>
    <x v="3"/>
    <x v="45"/>
    <x v="4"/>
  </r>
  <r>
    <x v="28"/>
    <x v="4"/>
    <x v="30"/>
    <x v="40"/>
    <x v="6"/>
    <x v="2"/>
    <x v="4"/>
    <x v="8"/>
    <x v="0"/>
    <x v="14"/>
    <x v="4"/>
  </r>
  <r>
    <x v="28"/>
    <x v="4"/>
    <x v="93"/>
    <x v="73"/>
    <x v="32"/>
    <x v="2"/>
    <x v="4"/>
    <x v="8"/>
    <x v="3"/>
    <x v="45"/>
    <x v="4"/>
  </r>
  <r>
    <x v="28"/>
    <x v="4"/>
    <x v="122"/>
    <x v="76"/>
    <x v="27"/>
    <x v="3"/>
    <x v="4"/>
    <x v="10"/>
    <x v="0"/>
    <x v="33"/>
    <x v="4"/>
  </r>
  <r>
    <x v="28"/>
    <x v="4"/>
    <x v="74"/>
    <x v="129"/>
    <x v="51"/>
    <x v="6"/>
    <x v="10"/>
    <x v="13"/>
    <x v="0"/>
    <x v="33"/>
    <x v="10"/>
  </r>
  <r>
    <x v="28"/>
    <x v="4"/>
    <x v="103"/>
    <x v="129"/>
    <x v="51"/>
    <x v="6"/>
    <x v="13"/>
    <x v="13"/>
    <x v="0"/>
    <x v="33"/>
    <x v="12"/>
  </r>
  <r>
    <x v="28"/>
    <x v="4"/>
    <x v="74"/>
    <x v="129"/>
    <x v="51"/>
    <x v="6"/>
    <x v="5"/>
    <x v="13"/>
    <x v="0"/>
    <x v="33"/>
    <x v="6"/>
  </r>
  <r>
    <x v="28"/>
    <x v="4"/>
    <x v="104"/>
    <x v="45"/>
    <x v="5"/>
    <x v="4"/>
    <x v="65"/>
    <x v="20"/>
    <x v="0"/>
    <x v="26"/>
    <x v="54"/>
  </r>
  <r>
    <x v="29"/>
    <x v="4"/>
    <x v="30"/>
    <x v="40"/>
    <x v="6"/>
    <x v="2"/>
    <x v="5"/>
    <x v="12"/>
    <x v="0"/>
    <x v="14"/>
    <x v="6"/>
  </r>
  <r>
    <x v="29"/>
    <x v="4"/>
    <x v="106"/>
    <x v="129"/>
    <x v="51"/>
    <x v="6"/>
    <x v="4"/>
    <x v="12"/>
    <x v="0"/>
    <x v="33"/>
    <x v="4"/>
  </r>
  <r>
    <x v="29"/>
    <x v="4"/>
    <x v="122"/>
    <x v="76"/>
    <x v="27"/>
    <x v="2"/>
    <x v="8"/>
    <x v="13"/>
    <x v="0"/>
    <x v="33"/>
    <x v="8"/>
  </r>
  <r>
    <x v="29"/>
    <x v="4"/>
    <x v="54"/>
    <x v="129"/>
    <x v="51"/>
    <x v="6"/>
    <x v="0"/>
    <x v="18"/>
    <x v="0"/>
    <x v="45"/>
    <x v="0"/>
  </r>
  <r>
    <x v="29"/>
    <x v="4"/>
    <x v="74"/>
    <x v="129"/>
    <x v="51"/>
    <x v="6"/>
    <x v="12"/>
    <x v="16"/>
    <x v="0"/>
    <x v="33"/>
    <x v="11"/>
  </r>
  <r>
    <x v="29"/>
    <x v="4"/>
    <x v="95"/>
    <x v="129"/>
    <x v="51"/>
    <x v="6"/>
    <x v="4"/>
    <x v="14"/>
    <x v="0"/>
    <x v="45"/>
    <x v="4"/>
  </r>
  <r>
    <x v="29"/>
    <x v="4"/>
    <x v="134"/>
    <x v="129"/>
    <x v="51"/>
    <x v="6"/>
    <x v="27"/>
    <x v="16"/>
    <x v="0"/>
    <x v="45"/>
    <x v="23"/>
  </r>
  <r>
    <x v="29"/>
    <x v="4"/>
    <x v="122"/>
    <x v="76"/>
    <x v="27"/>
    <x v="2"/>
    <x v="4"/>
    <x v="10"/>
    <x v="0"/>
    <x v="33"/>
    <x v="4"/>
  </r>
  <r>
    <x v="29"/>
    <x v="4"/>
    <x v="108"/>
    <x v="125"/>
    <x v="37"/>
    <x v="5"/>
    <x v="4"/>
    <x v="6"/>
    <x v="0"/>
    <x v="33"/>
    <x v="4"/>
  </r>
  <r>
    <x v="29"/>
    <x v="4"/>
    <x v="108"/>
    <x v="125"/>
    <x v="37"/>
    <x v="5"/>
    <x v="4"/>
    <x v="8"/>
    <x v="0"/>
    <x v="33"/>
    <x v="4"/>
  </r>
  <r>
    <x v="29"/>
    <x v="4"/>
    <x v="122"/>
    <x v="76"/>
    <x v="27"/>
    <x v="2"/>
    <x v="16"/>
    <x v="13"/>
    <x v="0"/>
    <x v="33"/>
    <x v="14"/>
  </r>
  <r>
    <x v="29"/>
    <x v="4"/>
    <x v="30"/>
    <x v="40"/>
    <x v="6"/>
    <x v="2"/>
    <x v="17"/>
    <x v="14"/>
    <x v="0"/>
    <x v="14"/>
    <x v="15"/>
  </r>
  <r>
    <x v="29"/>
    <x v="4"/>
    <x v="119"/>
    <x v="24"/>
    <x v="14"/>
    <x v="2"/>
    <x v="10"/>
    <x v="13"/>
    <x v="3"/>
    <x v="38"/>
    <x v="10"/>
  </r>
  <r>
    <x v="29"/>
    <x v="4"/>
    <x v="20"/>
    <x v="8"/>
    <x v="2"/>
    <x v="2"/>
    <x v="4"/>
    <x v="12"/>
    <x v="0"/>
    <x v="33"/>
    <x v="4"/>
  </r>
  <r>
    <x v="29"/>
    <x v="4"/>
    <x v="103"/>
    <x v="128"/>
    <x v="43"/>
    <x v="2"/>
    <x v="12"/>
    <x v="13"/>
    <x v="0"/>
    <x v="33"/>
    <x v="11"/>
  </r>
  <r>
    <x v="29"/>
    <x v="4"/>
    <x v="122"/>
    <x v="76"/>
    <x v="27"/>
    <x v="2"/>
    <x v="13"/>
    <x v="13"/>
    <x v="0"/>
    <x v="33"/>
    <x v="12"/>
  </r>
  <r>
    <x v="29"/>
    <x v="4"/>
    <x v="74"/>
    <x v="129"/>
    <x v="51"/>
    <x v="6"/>
    <x v="4"/>
    <x v="12"/>
    <x v="0"/>
    <x v="33"/>
    <x v="4"/>
  </r>
  <r>
    <x v="29"/>
    <x v="4"/>
    <x v="122"/>
    <x v="76"/>
    <x v="27"/>
    <x v="2"/>
    <x v="4"/>
    <x v="10"/>
    <x v="0"/>
    <x v="33"/>
    <x v="4"/>
  </r>
  <r>
    <x v="29"/>
    <x v="4"/>
    <x v="95"/>
    <x v="129"/>
    <x v="31"/>
    <x v="3"/>
    <x v="4"/>
    <x v="8"/>
    <x v="0"/>
    <x v="45"/>
    <x v="4"/>
  </r>
  <r>
    <x v="29"/>
    <x v="4"/>
    <x v="119"/>
    <x v="24"/>
    <x v="14"/>
    <x v="2"/>
    <x v="12"/>
    <x v="12"/>
    <x v="0"/>
    <x v="38"/>
    <x v="11"/>
  </r>
  <r>
    <x v="29"/>
    <x v="4"/>
    <x v="30"/>
    <x v="40"/>
    <x v="6"/>
    <x v="2"/>
    <x v="4"/>
    <x v="6"/>
    <x v="0"/>
    <x v="14"/>
    <x v="4"/>
  </r>
  <r>
    <x v="29"/>
    <x v="4"/>
    <x v="122"/>
    <x v="76"/>
    <x v="27"/>
    <x v="3"/>
    <x v="4"/>
    <x v="10"/>
    <x v="3"/>
    <x v="33"/>
    <x v="4"/>
  </r>
  <r>
    <x v="29"/>
    <x v="4"/>
    <x v="30"/>
    <x v="40"/>
    <x v="6"/>
    <x v="2"/>
    <x v="24"/>
    <x v="14"/>
    <x v="0"/>
    <x v="14"/>
    <x v="20"/>
  </r>
  <r>
    <x v="29"/>
    <x v="4"/>
    <x v="119"/>
    <x v="129"/>
    <x v="51"/>
    <x v="6"/>
    <x v="4"/>
    <x v="10"/>
    <x v="2"/>
    <x v="38"/>
    <x v="4"/>
  </r>
  <r>
    <x v="29"/>
    <x v="4"/>
    <x v="119"/>
    <x v="129"/>
    <x v="51"/>
    <x v="6"/>
    <x v="5"/>
    <x v="12"/>
    <x v="0"/>
    <x v="38"/>
    <x v="6"/>
  </r>
  <r>
    <x v="29"/>
    <x v="4"/>
    <x v="30"/>
    <x v="40"/>
    <x v="6"/>
    <x v="2"/>
    <x v="4"/>
    <x v="12"/>
    <x v="0"/>
    <x v="14"/>
    <x v="4"/>
  </r>
  <r>
    <x v="29"/>
    <x v="4"/>
    <x v="93"/>
    <x v="74"/>
    <x v="32"/>
    <x v="3"/>
    <x v="5"/>
    <x v="12"/>
    <x v="0"/>
    <x v="45"/>
    <x v="6"/>
  </r>
  <r>
    <x v="29"/>
    <x v="4"/>
    <x v="122"/>
    <x v="76"/>
    <x v="27"/>
    <x v="2"/>
    <x v="8"/>
    <x v="13"/>
    <x v="0"/>
    <x v="45"/>
    <x v="8"/>
  </r>
  <r>
    <x v="29"/>
    <x v="4"/>
    <x v="71"/>
    <x v="129"/>
    <x v="51"/>
    <x v="6"/>
    <x v="4"/>
    <x v="8"/>
    <x v="0"/>
    <x v="33"/>
    <x v="4"/>
  </r>
  <r>
    <x v="29"/>
    <x v="4"/>
    <x v="15"/>
    <x v="121"/>
    <x v="23"/>
    <x v="2"/>
    <x v="20"/>
    <x v="13"/>
    <x v="0"/>
    <x v="45"/>
    <x v="17"/>
  </r>
  <r>
    <x v="29"/>
    <x v="4"/>
    <x v="119"/>
    <x v="129"/>
    <x v="51"/>
    <x v="6"/>
    <x v="8"/>
    <x v="10"/>
    <x v="0"/>
    <x v="38"/>
    <x v="8"/>
  </r>
  <r>
    <x v="29"/>
    <x v="4"/>
    <x v="30"/>
    <x v="40"/>
    <x v="6"/>
    <x v="2"/>
    <x v="4"/>
    <x v="12"/>
    <x v="0"/>
    <x v="14"/>
    <x v="4"/>
  </r>
  <r>
    <x v="29"/>
    <x v="4"/>
    <x v="64"/>
    <x v="6"/>
    <x v="22"/>
    <x v="3"/>
    <x v="29"/>
    <x v="14"/>
    <x v="0"/>
    <x v="45"/>
    <x v="24"/>
  </r>
  <r>
    <x v="29"/>
    <x v="4"/>
    <x v="30"/>
    <x v="40"/>
    <x v="6"/>
    <x v="2"/>
    <x v="9"/>
    <x v="12"/>
    <x v="0"/>
    <x v="14"/>
    <x v="9"/>
  </r>
  <r>
    <x v="29"/>
    <x v="4"/>
    <x v="30"/>
    <x v="40"/>
    <x v="6"/>
    <x v="2"/>
    <x v="10"/>
    <x v="12"/>
    <x v="0"/>
    <x v="14"/>
    <x v="10"/>
  </r>
  <r>
    <x v="29"/>
    <x v="4"/>
    <x v="30"/>
    <x v="40"/>
    <x v="6"/>
    <x v="2"/>
    <x v="21"/>
    <x v="12"/>
    <x v="0"/>
    <x v="14"/>
    <x v="18"/>
  </r>
  <r>
    <x v="29"/>
    <x v="4"/>
    <x v="30"/>
    <x v="40"/>
    <x v="6"/>
    <x v="2"/>
    <x v="4"/>
    <x v="8"/>
    <x v="0"/>
    <x v="14"/>
    <x v="4"/>
  </r>
  <r>
    <x v="29"/>
    <x v="4"/>
    <x v="30"/>
    <x v="40"/>
    <x v="6"/>
    <x v="2"/>
    <x v="4"/>
    <x v="6"/>
    <x v="0"/>
    <x v="14"/>
    <x v="4"/>
  </r>
  <r>
    <x v="29"/>
    <x v="4"/>
    <x v="119"/>
    <x v="129"/>
    <x v="51"/>
    <x v="6"/>
    <x v="5"/>
    <x v="12"/>
    <x v="0"/>
    <x v="38"/>
    <x v="6"/>
  </r>
  <r>
    <x v="29"/>
    <x v="4"/>
    <x v="74"/>
    <x v="57"/>
    <x v="42"/>
    <x v="2"/>
    <x v="4"/>
    <x v="8"/>
    <x v="3"/>
    <x v="33"/>
    <x v="4"/>
  </r>
  <r>
    <x v="29"/>
    <x v="4"/>
    <x v="20"/>
    <x v="8"/>
    <x v="2"/>
    <x v="2"/>
    <x v="27"/>
    <x v="13"/>
    <x v="0"/>
    <x v="33"/>
    <x v="23"/>
  </r>
  <r>
    <x v="29"/>
    <x v="4"/>
    <x v="30"/>
    <x v="40"/>
    <x v="6"/>
    <x v="2"/>
    <x v="8"/>
    <x v="12"/>
    <x v="0"/>
    <x v="14"/>
    <x v="8"/>
  </r>
  <r>
    <x v="29"/>
    <x v="4"/>
    <x v="74"/>
    <x v="129"/>
    <x v="51"/>
    <x v="6"/>
    <x v="4"/>
    <x v="12"/>
    <x v="2"/>
    <x v="33"/>
    <x v="4"/>
  </r>
  <r>
    <x v="29"/>
    <x v="4"/>
    <x v="54"/>
    <x v="59"/>
    <x v="13"/>
    <x v="3"/>
    <x v="4"/>
    <x v="12"/>
    <x v="0"/>
    <x v="45"/>
    <x v="4"/>
  </r>
  <r>
    <x v="29"/>
    <x v="4"/>
    <x v="94"/>
    <x v="36"/>
    <x v="17"/>
    <x v="3"/>
    <x v="8"/>
    <x v="12"/>
    <x v="0"/>
    <x v="45"/>
    <x v="8"/>
  </r>
  <r>
    <x v="29"/>
    <x v="4"/>
    <x v="61"/>
    <x v="123"/>
    <x v="15"/>
    <x v="3"/>
    <x v="143"/>
    <x v="20"/>
    <x v="0"/>
    <x v="33"/>
    <x v="120"/>
  </r>
  <r>
    <x v="29"/>
    <x v="4"/>
    <x v="44"/>
    <x v="129"/>
    <x v="51"/>
    <x v="6"/>
    <x v="33"/>
    <x v="18"/>
    <x v="0"/>
    <x v="45"/>
    <x v="27"/>
  </r>
  <r>
    <x v="29"/>
    <x v="4"/>
    <x v="78"/>
    <x v="2"/>
    <x v="31"/>
    <x v="2"/>
    <x v="4"/>
    <x v="10"/>
    <x v="0"/>
    <x v="37"/>
    <x v="4"/>
  </r>
  <r>
    <x v="29"/>
    <x v="4"/>
    <x v="122"/>
    <x v="15"/>
    <x v="34"/>
    <x v="2"/>
    <x v="4"/>
    <x v="8"/>
    <x v="0"/>
    <x v="33"/>
    <x v="4"/>
  </r>
  <r>
    <x v="29"/>
    <x v="4"/>
    <x v="126"/>
    <x v="18"/>
    <x v="42"/>
    <x v="3"/>
    <x v="4"/>
    <x v="10"/>
    <x v="0"/>
    <x v="33"/>
    <x v="4"/>
  </r>
  <r>
    <x v="29"/>
    <x v="4"/>
    <x v="106"/>
    <x v="129"/>
    <x v="51"/>
    <x v="6"/>
    <x v="4"/>
    <x v="10"/>
    <x v="0"/>
    <x v="33"/>
    <x v="4"/>
  </r>
  <r>
    <x v="29"/>
    <x v="4"/>
    <x v="108"/>
    <x v="125"/>
    <x v="37"/>
    <x v="5"/>
    <x v="4"/>
    <x v="10"/>
    <x v="0"/>
    <x v="33"/>
    <x v="4"/>
  </r>
  <r>
    <x v="29"/>
    <x v="4"/>
    <x v="30"/>
    <x v="40"/>
    <x v="6"/>
    <x v="2"/>
    <x v="4"/>
    <x v="8"/>
    <x v="0"/>
    <x v="14"/>
    <x v="4"/>
  </r>
  <r>
    <x v="29"/>
    <x v="4"/>
    <x v="30"/>
    <x v="40"/>
    <x v="6"/>
    <x v="2"/>
    <x v="10"/>
    <x v="12"/>
    <x v="0"/>
    <x v="14"/>
    <x v="10"/>
  </r>
  <r>
    <x v="29"/>
    <x v="4"/>
    <x v="48"/>
    <x v="129"/>
    <x v="51"/>
    <x v="6"/>
    <x v="8"/>
    <x v="13"/>
    <x v="3"/>
    <x v="45"/>
    <x v="8"/>
  </r>
  <r>
    <x v="29"/>
    <x v="4"/>
    <x v="20"/>
    <x v="8"/>
    <x v="2"/>
    <x v="2"/>
    <x v="22"/>
    <x v="14"/>
    <x v="0"/>
    <x v="33"/>
    <x v="19"/>
  </r>
  <r>
    <x v="29"/>
    <x v="4"/>
    <x v="122"/>
    <x v="129"/>
    <x v="42"/>
    <x v="3"/>
    <x v="14"/>
    <x v="12"/>
    <x v="0"/>
    <x v="33"/>
    <x v="13"/>
  </r>
  <r>
    <x v="29"/>
    <x v="4"/>
    <x v="119"/>
    <x v="129"/>
    <x v="51"/>
    <x v="6"/>
    <x v="8"/>
    <x v="12"/>
    <x v="0"/>
    <x v="38"/>
    <x v="8"/>
  </r>
  <r>
    <x v="29"/>
    <x v="4"/>
    <x v="40"/>
    <x v="35"/>
    <x v="17"/>
    <x v="2"/>
    <x v="4"/>
    <x v="10"/>
    <x v="0"/>
    <x v="39"/>
    <x v="4"/>
  </r>
  <r>
    <x v="29"/>
    <x v="4"/>
    <x v="54"/>
    <x v="59"/>
    <x v="13"/>
    <x v="3"/>
    <x v="9"/>
    <x v="13"/>
    <x v="0"/>
    <x v="45"/>
    <x v="9"/>
  </r>
  <r>
    <x v="29"/>
    <x v="4"/>
    <x v="57"/>
    <x v="44"/>
    <x v="5"/>
    <x v="2"/>
    <x v="33"/>
    <x v="17"/>
    <x v="0"/>
    <x v="26"/>
    <x v="27"/>
  </r>
  <r>
    <x v="29"/>
    <x v="4"/>
    <x v="74"/>
    <x v="129"/>
    <x v="51"/>
    <x v="6"/>
    <x v="9"/>
    <x v="12"/>
    <x v="0"/>
    <x v="33"/>
    <x v="9"/>
  </r>
  <r>
    <x v="29"/>
    <x v="4"/>
    <x v="30"/>
    <x v="40"/>
    <x v="6"/>
    <x v="2"/>
    <x v="4"/>
    <x v="8"/>
    <x v="0"/>
    <x v="14"/>
    <x v="4"/>
  </r>
  <r>
    <x v="29"/>
    <x v="4"/>
    <x v="20"/>
    <x v="8"/>
    <x v="2"/>
    <x v="2"/>
    <x v="10"/>
    <x v="13"/>
    <x v="0"/>
    <x v="33"/>
    <x v="10"/>
  </r>
  <r>
    <x v="29"/>
    <x v="4"/>
    <x v="100"/>
    <x v="96"/>
    <x v="49"/>
    <x v="2"/>
    <x v="8"/>
    <x v="10"/>
    <x v="0"/>
    <x v="24"/>
    <x v="8"/>
  </r>
  <r>
    <x v="29"/>
    <x v="4"/>
    <x v="64"/>
    <x v="6"/>
    <x v="22"/>
    <x v="3"/>
    <x v="4"/>
    <x v="3"/>
    <x v="3"/>
    <x v="45"/>
    <x v="4"/>
  </r>
  <r>
    <x v="30"/>
    <x v="4"/>
    <x v="108"/>
    <x v="125"/>
    <x v="37"/>
    <x v="5"/>
    <x v="14"/>
    <x v="12"/>
    <x v="3"/>
    <x v="33"/>
    <x v="13"/>
  </r>
  <r>
    <x v="30"/>
    <x v="4"/>
    <x v="6"/>
    <x v="20"/>
    <x v="44"/>
    <x v="2"/>
    <x v="4"/>
    <x v="6"/>
    <x v="0"/>
    <x v="45"/>
    <x v="4"/>
  </r>
  <r>
    <x v="30"/>
    <x v="4"/>
    <x v="20"/>
    <x v="8"/>
    <x v="2"/>
    <x v="2"/>
    <x v="12"/>
    <x v="13"/>
    <x v="0"/>
    <x v="33"/>
    <x v="11"/>
  </r>
  <r>
    <x v="30"/>
    <x v="4"/>
    <x v="30"/>
    <x v="40"/>
    <x v="6"/>
    <x v="2"/>
    <x v="20"/>
    <x v="13"/>
    <x v="0"/>
    <x v="14"/>
    <x v="17"/>
  </r>
  <r>
    <x v="30"/>
    <x v="4"/>
    <x v="130"/>
    <x v="129"/>
    <x v="51"/>
    <x v="6"/>
    <x v="67"/>
    <x v="18"/>
    <x v="0"/>
    <x v="45"/>
    <x v="56"/>
  </r>
  <r>
    <x v="30"/>
    <x v="4"/>
    <x v="126"/>
    <x v="18"/>
    <x v="42"/>
    <x v="3"/>
    <x v="8"/>
    <x v="10"/>
    <x v="0"/>
    <x v="33"/>
    <x v="8"/>
  </r>
  <r>
    <x v="30"/>
    <x v="4"/>
    <x v="40"/>
    <x v="36"/>
    <x v="17"/>
    <x v="3"/>
    <x v="4"/>
    <x v="12"/>
    <x v="0"/>
    <x v="39"/>
    <x v="4"/>
  </r>
  <r>
    <x v="30"/>
    <x v="4"/>
    <x v="30"/>
    <x v="40"/>
    <x v="6"/>
    <x v="2"/>
    <x v="14"/>
    <x v="13"/>
    <x v="0"/>
    <x v="14"/>
    <x v="13"/>
  </r>
  <r>
    <x v="30"/>
    <x v="4"/>
    <x v="48"/>
    <x v="129"/>
    <x v="51"/>
    <x v="6"/>
    <x v="18"/>
    <x v="13"/>
    <x v="0"/>
    <x v="45"/>
    <x v="16"/>
  </r>
  <r>
    <x v="30"/>
    <x v="4"/>
    <x v="40"/>
    <x v="36"/>
    <x v="17"/>
    <x v="3"/>
    <x v="10"/>
    <x v="12"/>
    <x v="3"/>
    <x v="39"/>
    <x v="10"/>
  </r>
  <r>
    <x v="30"/>
    <x v="4"/>
    <x v="104"/>
    <x v="45"/>
    <x v="5"/>
    <x v="4"/>
    <x v="92"/>
    <x v="20"/>
    <x v="0"/>
    <x v="26"/>
    <x v="75"/>
  </r>
  <r>
    <x v="30"/>
    <x v="4"/>
    <x v="54"/>
    <x v="129"/>
    <x v="51"/>
    <x v="6"/>
    <x v="31"/>
    <x v="18"/>
    <x v="2"/>
    <x v="45"/>
    <x v="26"/>
  </r>
  <r>
    <x v="30"/>
    <x v="4"/>
    <x v="40"/>
    <x v="93"/>
    <x v="12"/>
    <x v="2"/>
    <x v="4"/>
    <x v="8"/>
    <x v="0"/>
    <x v="39"/>
    <x v="4"/>
  </r>
  <r>
    <x v="30"/>
    <x v="4"/>
    <x v="40"/>
    <x v="93"/>
    <x v="12"/>
    <x v="2"/>
    <x v="5"/>
    <x v="12"/>
    <x v="3"/>
    <x v="39"/>
    <x v="6"/>
  </r>
  <r>
    <x v="30"/>
    <x v="4"/>
    <x v="24"/>
    <x v="26"/>
    <x v="41"/>
    <x v="2"/>
    <x v="20"/>
    <x v="14"/>
    <x v="0"/>
    <x v="33"/>
    <x v="17"/>
  </r>
  <r>
    <x v="30"/>
    <x v="4"/>
    <x v="30"/>
    <x v="40"/>
    <x v="6"/>
    <x v="2"/>
    <x v="4"/>
    <x v="10"/>
    <x v="0"/>
    <x v="14"/>
    <x v="4"/>
  </r>
  <r>
    <x v="30"/>
    <x v="4"/>
    <x v="40"/>
    <x v="129"/>
    <x v="51"/>
    <x v="6"/>
    <x v="4"/>
    <x v="8"/>
    <x v="3"/>
    <x v="39"/>
    <x v="4"/>
  </r>
  <r>
    <x v="30"/>
    <x v="4"/>
    <x v="14"/>
    <x v="129"/>
    <x v="3"/>
    <x v="3"/>
    <x v="5"/>
    <x v="10"/>
    <x v="0"/>
    <x v="45"/>
    <x v="6"/>
  </r>
  <r>
    <x v="30"/>
    <x v="4"/>
    <x v="95"/>
    <x v="129"/>
    <x v="51"/>
    <x v="6"/>
    <x v="12"/>
    <x v="12"/>
    <x v="0"/>
    <x v="45"/>
    <x v="11"/>
  </r>
  <r>
    <x v="30"/>
    <x v="4"/>
    <x v="6"/>
    <x v="129"/>
    <x v="51"/>
    <x v="6"/>
    <x v="16"/>
    <x v="16"/>
    <x v="0"/>
    <x v="45"/>
    <x v="14"/>
  </r>
  <r>
    <x v="30"/>
    <x v="4"/>
    <x v="104"/>
    <x v="48"/>
    <x v="5"/>
    <x v="3"/>
    <x v="98"/>
    <x v="18"/>
    <x v="0"/>
    <x v="26"/>
    <x v="80"/>
  </r>
  <r>
    <x v="30"/>
    <x v="4"/>
    <x v="30"/>
    <x v="40"/>
    <x v="6"/>
    <x v="2"/>
    <x v="37"/>
    <x v="14"/>
    <x v="0"/>
    <x v="14"/>
    <x v="30"/>
  </r>
  <r>
    <x v="30"/>
    <x v="4"/>
    <x v="30"/>
    <x v="40"/>
    <x v="6"/>
    <x v="2"/>
    <x v="5"/>
    <x v="10"/>
    <x v="0"/>
    <x v="14"/>
    <x v="6"/>
  </r>
  <r>
    <x v="30"/>
    <x v="4"/>
    <x v="30"/>
    <x v="40"/>
    <x v="6"/>
    <x v="2"/>
    <x v="14"/>
    <x v="13"/>
    <x v="0"/>
    <x v="14"/>
    <x v="13"/>
  </r>
  <r>
    <x v="30"/>
    <x v="4"/>
    <x v="24"/>
    <x v="26"/>
    <x v="41"/>
    <x v="2"/>
    <x v="5"/>
    <x v="12"/>
    <x v="0"/>
    <x v="33"/>
    <x v="6"/>
  </r>
  <r>
    <x v="30"/>
    <x v="4"/>
    <x v="78"/>
    <x v="115"/>
    <x v="31"/>
    <x v="6"/>
    <x v="30"/>
    <x v="14"/>
    <x v="0"/>
    <x v="37"/>
    <x v="25"/>
  </r>
  <r>
    <x v="30"/>
    <x v="4"/>
    <x v="4"/>
    <x v="112"/>
    <x v="30"/>
    <x v="3"/>
    <x v="25"/>
    <x v="14"/>
    <x v="3"/>
    <x v="45"/>
    <x v="21"/>
  </r>
  <r>
    <x v="30"/>
    <x v="4"/>
    <x v="111"/>
    <x v="129"/>
    <x v="51"/>
    <x v="6"/>
    <x v="9"/>
    <x v="13"/>
    <x v="0"/>
    <x v="33"/>
    <x v="9"/>
  </r>
  <r>
    <x v="30"/>
    <x v="4"/>
    <x v="26"/>
    <x v="46"/>
    <x v="5"/>
    <x v="2"/>
    <x v="13"/>
    <x v="14"/>
    <x v="0"/>
    <x v="45"/>
    <x v="12"/>
  </r>
  <r>
    <x v="30"/>
    <x v="4"/>
    <x v="64"/>
    <x v="6"/>
    <x v="22"/>
    <x v="3"/>
    <x v="13"/>
    <x v="13"/>
    <x v="0"/>
    <x v="45"/>
    <x v="12"/>
  </r>
  <r>
    <x v="30"/>
    <x v="4"/>
    <x v="57"/>
    <x v="44"/>
    <x v="5"/>
    <x v="2"/>
    <x v="26"/>
    <x v="8"/>
    <x v="0"/>
    <x v="26"/>
    <x v="22"/>
  </r>
  <r>
    <x v="30"/>
    <x v="4"/>
    <x v="124"/>
    <x v="84"/>
    <x v="36"/>
    <x v="2"/>
    <x v="13"/>
    <x v="13"/>
    <x v="0"/>
    <x v="26"/>
    <x v="12"/>
  </r>
  <r>
    <x v="30"/>
    <x v="4"/>
    <x v="45"/>
    <x v="129"/>
    <x v="51"/>
    <x v="6"/>
    <x v="5"/>
    <x v="12"/>
    <x v="0"/>
    <x v="33"/>
    <x v="6"/>
  </r>
  <r>
    <x v="30"/>
    <x v="4"/>
    <x v="104"/>
    <x v="48"/>
    <x v="5"/>
    <x v="3"/>
    <x v="8"/>
    <x v="8"/>
    <x v="0"/>
    <x v="26"/>
    <x v="8"/>
  </r>
  <r>
    <x v="30"/>
    <x v="4"/>
    <x v="108"/>
    <x v="125"/>
    <x v="37"/>
    <x v="5"/>
    <x v="4"/>
    <x v="13"/>
    <x v="3"/>
    <x v="33"/>
    <x v="4"/>
  </r>
  <r>
    <x v="30"/>
    <x v="4"/>
    <x v="30"/>
    <x v="40"/>
    <x v="6"/>
    <x v="2"/>
    <x v="13"/>
    <x v="14"/>
    <x v="0"/>
    <x v="14"/>
    <x v="12"/>
  </r>
  <r>
    <x v="30"/>
    <x v="4"/>
    <x v="24"/>
    <x v="26"/>
    <x v="41"/>
    <x v="2"/>
    <x v="21"/>
    <x v="16"/>
    <x v="0"/>
    <x v="33"/>
    <x v="18"/>
  </r>
  <r>
    <x v="30"/>
    <x v="4"/>
    <x v="30"/>
    <x v="40"/>
    <x v="6"/>
    <x v="2"/>
    <x v="13"/>
    <x v="12"/>
    <x v="0"/>
    <x v="14"/>
    <x v="12"/>
  </r>
  <r>
    <x v="30"/>
    <x v="4"/>
    <x v="120"/>
    <x v="90"/>
    <x v="45"/>
    <x v="3"/>
    <x v="5"/>
    <x v="12"/>
    <x v="0"/>
    <x v="33"/>
    <x v="6"/>
  </r>
  <r>
    <x v="30"/>
    <x v="4"/>
    <x v="48"/>
    <x v="129"/>
    <x v="51"/>
    <x v="6"/>
    <x v="12"/>
    <x v="13"/>
    <x v="0"/>
    <x v="45"/>
    <x v="11"/>
  </r>
  <r>
    <x v="30"/>
    <x v="4"/>
    <x v="123"/>
    <x v="39"/>
    <x v="45"/>
    <x v="2"/>
    <x v="4"/>
    <x v="13"/>
    <x v="0"/>
    <x v="33"/>
    <x v="4"/>
  </r>
  <r>
    <x v="30"/>
    <x v="4"/>
    <x v="64"/>
    <x v="6"/>
    <x v="22"/>
    <x v="3"/>
    <x v="4"/>
    <x v="8"/>
    <x v="0"/>
    <x v="45"/>
    <x v="4"/>
  </r>
  <r>
    <x v="30"/>
    <x v="4"/>
    <x v="40"/>
    <x v="36"/>
    <x v="17"/>
    <x v="3"/>
    <x v="21"/>
    <x v="14"/>
    <x v="3"/>
    <x v="39"/>
    <x v="18"/>
  </r>
  <r>
    <x v="30"/>
    <x v="4"/>
    <x v="100"/>
    <x v="96"/>
    <x v="49"/>
    <x v="2"/>
    <x v="21"/>
    <x v="10"/>
    <x v="0"/>
    <x v="24"/>
    <x v="18"/>
  </r>
  <r>
    <x v="30"/>
    <x v="4"/>
    <x v="6"/>
    <x v="129"/>
    <x v="51"/>
    <x v="6"/>
    <x v="4"/>
    <x v="12"/>
    <x v="0"/>
    <x v="45"/>
    <x v="4"/>
  </r>
  <r>
    <x v="30"/>
    <x v="4"/>
    <x v="44"/>
    <x v="87"/>
    <x v="3"/>
    <x v="2"/>
    <x v="27"/>
    <x v="14"/>
    <x v="0"/>
    <x v="45"/>
    <x v="23"/>
  </r>
  <r>
    <x v="30"/>
    <x v="4"/>
    <x v="119"/>
    <x v="129"/>
    <x v="51"/>
    <x v="6"/>
    <x v="5"/>
    <x v="13"/>
    <x v="0"/>
    <x v="38"/>
    <x v="6"/>
  </r>
  <r>
    <x v="30"/>
    <x v="4"/>
    <x v="95"/>
    <x v="129"/>
    <x v="51"/>
    <x v="6"/>
    <x v="9"/>
    <x v="13"/>
    <x v="0"/>
    <x v="45"/>
    <x v="9"/>
  </r>
  <r>
    <x v="30"/>
    <x v="4"/>
    <x v="107"/>
    <x v="0"/>
    <x v="0"/>
    <x v="3"/>
    <x v="41"/>
    <x v="18"/>
    <x v="0"/>
    <x v="33"/>
    <x v="34"/>
  </r>
  <r>
    <x v="30"/>
    <x v="4"/>
    <x v="71"/>
    <x v="129"/>
    <x v="51"/>
    <x v="6"/>
    <x v="4"/>
    <x v="10"/>
    <x v="0"/>
    <x v="33"/>
    <x v="4"/>
  </r>
  <r>
    <x v="30"/>
    <x v="4"/>
    <x v="122"/>
    <x v="129"/>
    <x v="51"/>
    <x v="6"/>
    <x v="4"/>
    <x v="8"/>
    <x v="0"/>
    <x v="33"/>
    <x v="4"/>
  </r>
  <r>
    <x v="30"/>
    <x v="4"/>
    <x v="30"/>
    <x v="40"/>
    <x v="6"/>
    <x v="2"/>
    <x v="5"/>
    <x v="14"/>
    <x v="0"/>
    <x v="14"/>
    <x v="6"/>
  </r>
  <r>
    <x v="30"/>
    <x v="4"/>
    <x v="3"/>
    <x v="42"/>
    <x v="40"/>
    <x v="2"/>
    <x v="8"/>
    <x v="13"/>
    <x v="3"/>
    <x v="33"/>
    <x v="8"/>
  </r>
  <r>
    <x v="30"/>
    <x v="4"/>
    <x v="62"/>
    <x v="129"/>
    <x v="51"/>
    <x v="6"/>
    <x v="12"/>
    <x v="13"/>
    <x v="0"/>
    <x v="33"/>
    <x v="11"/>
  </r>
  <r>
    <x v="30"/>
    <x v="4"/>
    <x v="30"/>
    <x v="40"/>
    <x v="6"/>
    <x v="2"/>
    <x v="4"/>
    <x v="12"/>
    <x v="0"/>
    <x v="14"/>
    <x v="4"/>
  </r>
  <r>
    <x v="30"/>
    <x v="4"/>
    <x v="74"/>
    <x v="129"/>
    <x v="3"/>
    <x v="3"/>
    <x v="9"/>
    <x v="13"/>
    <x v="3"/>
    <x v="33"/>
    <x v="9"/>
  </r>
  <r>
    <x v="30"/>
    <x v="4"/>
    <x v="44"/>
    <x v="87"/>
    <x v="3"/>
    <x v="2"/>
    <x v="9"/>
    <x v="13"/>
    <x v="3"/>
    <x v="45"/>
    <x v="9"/>
  </r>
  <r>
    <x v="30"/>
    <x v="4"/>
    <x v="30"/>
    <x v="40"/>
    <x v="6"/>
    <x v="2"/>
    <x v="16"/>
    <x v="13"/>
    <x v="0"/>
    <x v="14"/>
    <x v="14"/>
  </r>
  <r>
    <x v="30"/>
    <x v="4"/>
    <x v="110"/>
    <x v="24"/>
    <x v="14"/>
    <x v="2"/>
    <x v="4"/>
    <x v="6"/>
    <x v="3"/>
    <x v="39"/>
    <x v="4"/>
  </r>
  <r>
    <x v="30"/>
    <x v="4"/>
    <x v="44"/>
    <x v="87"/>
    <x v="3"/>
    <x v="2"/>
    <x v="4"/>
    <x v="8"/>
    <x v="5"/>
    <x v="45"/>
    <x v="4"/>
  </r>
  <r>
    <x v="30"/>
    <x v="4"/>
    <x v="119"/>
    <x v="129"/>
    <x v="51"/>
    <x v="6"/>
    <x v="4"/>
    <x v="10"/>
    <x v="3"/>
    <x v="38"/>
    <x v="4"/>
  </r>
  <r>
    <x v="30"/>
    <x v="4"/>
    <x v="48"/>
    <x v="129"/>
    <x v="51"/>
    <x v="6"/>
    <x v="4"/>
    <x v="10"/>
    <x v="3"/>
    <x v="45"/>
    <x v="4"/>
  </r>
  <r>
    <x v="30"/>
    <x v="4"/>
    <x v="48"/>
    <x v="129"/>
    <x v="51"/>
    <x v="6"/>
    <x v="10"/>
    <x v="13"/>
    <x v="0"/>
    <x v="45"/>
    <x v="10"/>
  </r>
  <r>
    <x v="30"/>
    <x v="4"/>
    <x v="71"/>
    <x v="15"/>
    <x v="34"/>
    <x v="2"/>
    <x v="4"/>
    <x v="8"/>
    <x v="0"/>
    <x v="33"/>
    <x v="4"/>
  </r>
  <r>
    <x v="30"/>
    <x v="4"/>
    <x v="24"/>
    <x v="26"/>
    <x v="41"/>
    <x v="2"/>
    <x v="4"/>
    <x v="6"/>
    <x v="3"/>
    <x v="33"/>
    <x v="4"/>
  </r>
  <r>
    <x v="0"/>
    <x v="0"/>
    <x v="9"/>
    <x v="129"/>
    <x v="51"/>
    <x v="6"/>
    <x v="32"/>
    <x v="14"/>
    <x v="3"/>
    <x v="13"/>
    <x v="25"/>
  </r>
  <r>
    <x v="0"/>
    <x v="0"/>
    <x v="12"/>
    <x v="102"/>
    <x v="46"/>
    <x v="1"/>
    <x v="47"/>
    <x v="16"/>
    <x v="3"/>
    <x v="11"/>
    <x v="38"/>
  </r>
  <r>
    <x v="0"/>
    <x v="0"/>
    <x v="23"/>
    <x v="129"/>
    <x v="4"/>
    <x v="3"/>
    <x v="6"/>
    <x v="2"/>
    <x v="2"/>
    <x v="35"/>
    <x v="6"/>
  </r>
  <r>
    <x v="0"/>
    <x v="0"/>
    <x v="8"/>
    <x v="129"/>
    <x v="31"/>
    <x v="3"/>
    <x v="15"/>
    <x v="14"/>
    <x v="3"/>
    <x v="13"/>
    <x v="15"/>
  </r>
  <r>
    <x v="0"/>
    <x v="0"/>
    <x v="12"/>
    <x v="102"/>
    <x v="46"/>
    <x v="1"/>
    <x v="23"/>
    <x v="14"/>
    <x v="0"/>
    <x v="11"/>
    <x v="19"/>
  </r>
  <r>
    <x v="0"/>
    <x v="0"/>
    <x v="50"/>
    <x v="129"/>
    <x v="46"/>
    <x v="3"/>
    <x v="6"/>
    <x v="12"/>
    <x v="3"/>
    <x v="8"/>
    <x v="6"/>
  </r>
  <r>
    <x v="0"/>
    <x v="0"/>
    <x v="10"/>
    <x v="129"/>
    <x v="31"/>
    <x v="3"/>
    <x v="6"/>
    <x v="10"/>
    <x v="3"/>
    <x v="13"/>
    <x v="6"/>
  </r>
  <r>
    <x v="0"/>
    <x v="0"/>
    <x v="22"/>
    <x v="129"/>
    <x v="51"/>
    <x v="6"/>
    <x v="15"/>
    <x v="13"/>
    <x v="0"/>
    <x v="34"/>
    <x v="13"/>
  </r>
  <r>
    <x v="0"/>
    <x v="0"/>
    <x v="21"/>
    <x v="129"/>
    <x v="51"/>
    <x v="6"/>
    <x v="50"/>
    <x v="18"/>
    <x v="0"/>
    <x v="12"/>
    <x v="43"/>
  </r>
  <r>
    <x v="0"/>
    <x v="0"/>
    <x v="131"/>
    <x v="22"/>
    <x v="46"/>
    <x v="2"/>
    <x v="15"/>
    <x v="16"/>
    <x v="0"/>
    <x v="26"/>
    <x v="13"/>
  </r>
  <r>
    <x v="0"/>
    <x v="0"/>
    <x v="22"/>
    <x v="129"/>
    <x v="51"/>
    <x v="6"/>
    <x v="11"/>
    <x v="13"/>
    <x v="3"/>
    <x v="34"/>
    <x v="11"/>
  </r>
  <r>
    <x v="0"/>
    <x v="0"/>
    <x v="129"/>
    <x v="129"/>
    <x v="51"/>
    <x v="6"/>
    <x v="55"/>
    <x v="16"/>
    <x v="0"/>
    <x v="12"/>
    <x v="45"/>
  </r>
  <r>
    <x v="0"/>
    <x v="0"/>
    <x v="115"/>
    <x v="129"/>
    <x v="51"/>
    <x v="6"/>
    <x v="6"/>
    <x v="8"/>
    <x v="3"/>
    <x v="26"/>
    <x v="6"/>
  </r>
  <r>
    <x v="0"/>
    <x v="0"/>
    <x v="18"/>
    <x v="129"/>
    <x v="51"/>
    <x v="6"/>
    <x v="23"/>
    <x v="16"/>
    <x v="0"/>
    <x v="28"/>
    <x v="19"/>
  </r>
  <r>
    <x v="0"/>
    <x v="0"/>
    <x v="18"/>
    <x v="129"/>
    <x v="3"/>
    <x v="3"/>
    <x v="23"/>
    <x v="13"/>
    <x v="0"/>
    <x v="1"/>
    <x v="19"/>
  </r>
  <r>
    <x v="0"/>
    <x v="0"/>
    <x v="115"/>
    <x v="129"/>
    <x v="51"/>
    <x v="6"/>
    <x v="23"/>
    <x v="16"/>
    <x v="0"/>
    <x v="26"/>
    <x v="20"/>
  </r>
  <r>
    <x v="0"/>
    <x v="0"/>
    <x v="79"/>
    <x v="2"/>
    <x v="31"/>
    <x v="2"/>
    <x v="6"/>
    <x v="8"/>
    <x v="0"/>
    <x v="1"/>
    <x v="6"/>
  </r>
  <r>
    <x v="0"/>
    <x v="0"/>
    <x v="109"/>
    <x v="129"/>
    <x v="51"/>
    <x v="6"/>
    <x v="28"/>
    <x v="16"/>
    <x v="3"/>
    <x v="1"/>
    <x v="24"/>
  </r>
  <r>
    <x v="0"/>
    <x v="0"/>
    <x v="51"/>
    <x v="129"/>
    <x v="51"/>
    <x v="6"/>
    <x v="6"/>
    <x v="12"/>
    <x v="0"/>
    <x v="8"/>
    <x v="6"/>
  </r>
  <r>
    <x v="0"/>
    <x v="0"/>
    <x v="93"/>
    <x v="74"/>
    <x v="32"/>
    <x v="3"/>
    <x v="11"/>
    <x v="13"/>
    <x v="0"/>
    <x v="8"/>
    <x v="10"/>
  </r>
  <r>
    <x v="0"/>
    <x v="0"/>
    <x v="30"/>
    <x v="40"/>
    <x v="6"/>
    <x v="2"/>
    <x v="23"/>
    <x v="16"/>
    <x v="0"/>
    <x v="14"/>
    <x v="19"/>
  </r>
  <r>
    <x v="0"/>
    <x v="0"/>
    <x v="25"/>
    <x v="129"/>
    <x v="51"/>
    <x v="6"/>
    <x v="32"/>
    <x v="18"/>
    <x v="0"/>
    <x v="1"/>
    <x v="27"/>
  </r>
  <r>
    <x v="0"/>
    <x v="0"/>
    <x v="131"/>
    <x v="129"/>
    <x v="51"/>
    <x v="6"/>
    <x v="32"/>
    <x v="14"/>
    <x v="0"/>
    <x v="26"/>
    <x v="26"/>
  </r>
  <r>
    <x v="0"/>
    <x v="0"/>
    <x v="52"/>
    <x v="22"/>
    <x v="46"/>
    <x v="2"/>
    <x v="15"/>
    <x v="13"/>
    <x v="0"/>
    <x v="26"/>
    <x v="15"/>
  </r>
  <r>
    <x v="0"/>
    <x v="0"/>
    <x v="90"/>
    <x v="14"/>
    <x v="10"/>
    <x v="2"/>
    <x v="6"/>
    <x v="8"/>
    <x v="3"/>
    <x v="36"/>
    <x v="6"/>
  </r>
  <r>
    <x v="0"/>
    <x v="0"/>
    <x v="12"/>
    <x v="102"/>
    <x v="46"/>
    <x v="1"/>
    <x v="40"/>
    <x v="18"/>
    <x v="0"/>
    <x v="8"/>
    <x v="33"/>
  </r>
  <r>
    <x v="0"/>
    <x v="0"/>
    <x v="18"/>
    <x v="129"/>
    <x v="51"/>
    <x v="6"/>
    <x v="15"/>
    <x v="14"/>
    <x v="3"/>
    <x v="1"/>
    <x v="15"/>
  </r>
  <r>
    <x v="0"/>
    <x v="0"/>
    <x v="18"/>
    <x v="129"/>
    <x v="51"/>
    <x v="6"/>
    <x v="6"/>
    <x v="12"/>
    <x v="3"/>
    <x v="1"/>
    <x v="6"/>
  </r>
  <r>
    <x v="0"/>
    <x v="0"/>
    <x v="40"/>
    <x v="36"/>
    <x v="17"/>
    <x v="3"/>
    <x v="11"/>
    <x v="13"/>
    <x v="3"/>
    <x v="1"/>
    <x v="10"/>
  </r>
  <r>
    <x v="1"/>
    <x v="0"/>
    <x v="129"/>
    <x v="129"/>
    <x v="51"/>
    <x v="6"/>
    <x v="23"/>
    <x v="13"/>
    <x v="0"/>
    <x v="1"/>
    <x v="19"/>
  </r>
  <r>
    <x v="1"/>
    <x v="0"/>
    <x v="30"/>
    <x v="40"/>
    <x v="6"/>
    <x v="2"/>
    <x v="15"/>
    <x v="13"/>
    <x v="0"/>
    <x v="14"/>
    <x v="15"/>
  </r>
  <r>
    <x v="1"/>
    <x v="0"/>
    <x v="78"/>
    <x v="115"/>
    <x v="31"/>
    <x v="3"/>
    <x v="83"/>
    <x v="20"/>
    <x v="0"/>
    <x v="1"/>
    <x v="67"/>
  </r>
  <r>
    <x v="1"/>
    <x v="0"/>
    <x v="99"/>
    <x v="99"/>
    <x v="42"/>
    <x v="3"/>
    <x v="6"/>
    <x v="8"/>
    <x v="0"/>
    <x v="15"/>
    <x v="6"/>
  </r>
  <r>
    <x v="1"/>
    <x v="0"/>
    <x v="10"/>
    <x v="129"/>
    <x v="42"/>
    <x v="3"/>
    <x v="6"/>
    <x v="10"/>
    <x v="0"/>
    <x v="1"/>
    <x v="6"/>
  </r>
  <r>
    <x v="1"/>
    <x v="0"/>
    <x v="40"/>
    <x v="99"/>
    <x v="42"/>
    <x v="3"/>
    <x v="6"/>
    <x v="10"/>
    <x v="0"/>
    <x v="1"/>
    <x v="8"/>
  </r>
  <r>
    <x v="1"/>
    <x v="0"/>
    <x v="85"/>
    <x v="129"/>
    <x v="43"/>
    <x v="3"/>
    <x v="6"/>
    <x v="10"/>
    <x v="0"/>
    <x v="1"/>
    <x v="6"/>
  </r>
  <r>
    <x v="1"/>
    <x v="0"/>
    <x v="30"/>
    <x v="40"/>
    <x v="6"/>
    <x v="2"/>
    <x v="32"/>
    <x v="14"/>
    <x v="0"/>
    <x v="14"/>
    <x v="26"/>
  </r>
  <r>
    <x v="1"/>
    <x v="0"/>
    <x v="12"/>
    <x v="102"/>
    <x v="46"/>
    <x v="1"/>
    <x v="11"/>
    <x v="12"/>
    <x v="0"/>
    <x v="8"/>
    <x v="9"/>
  </r>
  <r>
    <x v="1"/>
    <x v="0"/>
    <x v="96"/>
    <x v="125"/>
    <x v="37"/>
    <x v="2"/>
    <x v="11"/>
    <x v="13"/>
    <x v="0"/>
    <x v="8"/>
    <x v="12"/>
  </r>
  <r>
    <x v="1"/>
    <x v="0"/>
    <x v="86"/>
    <x v="15"/>
    <x v="34"/>
    <x v="2"/>
    <x v="6"/>
    <x v="12"/>
    <x v="0"/>
    <x v="1"/>
    <x v="6"/>
  </r>
  <r>
    <x v="1"/>
    <x v="0"/>
    <x v="18"/>
    <x v="129"/>
    <x v="51"/>
    <x v="6"/>
    <x v="120"/>
    <x v="20"/>
    <x v="0"/>
    <x v="1"/>
    <x v="100"/>
  </r>
  <r>
    <x v="1"/>
    <x v="0"/>
    <x v="25"/>
    <x v="129"/>
    <x v="51"/>
    <x v="6"/>
    <x v="11"/>
    <x v="13"/>
    <x v="0"/>
    <x v="1"/>
    <x v="10"/>
  </r>
  <r>
    <x v="1"/>
    <x v="0"/>
    <x v="132"/>
    <x v="81"/>
    <x v="48"/>
    <x v="2"/>
    <x v="11"/>
    <x v="10"/>
    <x v="0"/>
    <x v="1"/>
    <x v="9"/>
  </r>
  <r>
    <x v="1"/>
    <x v="0"/>
    <x v="122"/>
    <x v="76"/>
    <x v="27"/>
    <x v="3"/>
    <x v="6"/>
    <x v="13"/>
    <x v="0"/>
    <x v="1"/>
    <x v="6"/>
  </r>
  <r>
    <x v="1"/>
    <x v="0"/>
    <x v="30"/>
    <x v="40"/>
    <x v="6"/>
    <x v="2"/>
    <x v="15"/>
    <x v="14"/>
    <x v="0"/>
    <x v="14"/>
    <x v="15"/>
  </r>
  <r>
    <x v="1"/>
    <x v="0"/>
    <x v="79"/>
    <x v="115"/>
    <x v="31"/>
    <x v="3"/>
    <x v="28"/>
    <x v="16"/>
    <x v="0"/>
    <x v="1"/>
    <x v="22"/>
  </r>
  <r>
    <x v="1"/>
    <x v="0"/>
    <x v="18"/>
    <x v="129"/>
    <x v="1"/>
    <x v="3"/>
    <x v="11"/>
    <x v="12"/>
    <x v="0"/>
    <x v="1"/>
    <x v="10"/>
  </r>
  <r>
    <x v="1"/>
    <x v="0"/>
    <x v="10"/>
    <x v="129"/>
    <x v="51"/>
    <x v="6"/>
    <x v="6"/>
    <x v="10"/>
    <x v="0"/>
    <x v="1"/>
    <x v="6"/>
  </r>
  <r>
    <x v="1"/>
    <x v="0"/>
    <x v="134"/>
    <x v="129"/>
    <x v="45"/>
    <x v="3"/>
    <x v="6"/>
    <x v="8"/>
    <x v="0"/>
    <x v="8"/>
    <x v="4"/>
  </r>
  <r>
    <x v="1"/>
    <x v="0"/>
    <x v="30"/>
    <x v="40"/>
    <x v="6"/>
    <x v="2"/>
    <x v="11"/>
    <x v="12"/>
    <x v="0"/>
    <x v="14"/>
    <x v="9"/>
  </r>
  <r>
    <x v="1"/>
    <x v="0"/>
    <x v="30"/>
    <x v="40"/>
    <x v="6"/>
    <x v="2"/>
    <x v="19"/>
    <x v="14"/>
    <x v="0"/>
    <x v="14"/>
    <x v="18"/>
  </r>
  <r>
    <x v="1"/>
    <x v="0"/>
    <x v="24"/>
    <x v="129"/>
    <x v="51"/>
    <x v="6"/>
    <x v="23"/>
    <x v="16"/>
    <x v="0"/>
    <x v="1"/>
    <x v="20"/>
  </r>
  <r>
    <x v="1"/>
    <x v="0"/>
    <x v="104"/>
    <x v="44"/>
    <x v="5"/>
    <x v="2"/>
    <x v="36"/>
    <x v="10"/>
    <x v="0"/>
    <x v="22"/>
    <x v="28"/>
  </r>
  <r>
    <x v="1"/>
    <x v="0"/>
    <x v="12"/>
    <x v="102"/>
    <x v="46"/>
    <x v="1"/>
    <x v="11"/>
    <x v="10"/>
    <x v="0"/>
    <x v="8"/>
    <x v="9"/>
  </r>
  <r>
    <x v="1"/>
    <x v="0"/>
    <x v="67"/>
    <x v="44"/>
    <x v="5"/>
    <x v="2"/>
    <x v="28"/>
    <x v="12"/>
    <x v="0"/>
    <x v="1"/>
    <x v="23"/>
  </r>
  <r>
    <x v="1"/>
    <x v="0"/>
    <x v="12"/>
    <x v="102"/>
    <x v="46"/>
    <x v="1"/>
    <x v="23"/>
    <x v="14"/>
    <x v="0"/>
    <x v="8"/>
    <x v="20"/>
  </r>
  <r>
    <x v="1"/>
    <x v="0"/>
    <x v="5"/>
    <x v="129"/>
    <x v="51"/>
    <x v="6"/>
    <x v="6"/>
    <x v="8"/>
    <x v="0"/>
    <x v="1"/>
    <x v="6"/>
  </r>
  <r>
    <x v="1"/>
    <x v="0"/>
    <x v="4"/>
    <x v="129"/>
    <x v="3"/>
    <x v="3"/>
    <x v="11"/>
    <x v="10"/>
    <x v="0"/>
    <x v="8"/>
    <x v="10"/>
  </r>
  <r>
    <x v="1"/>
    <x v="0"/>
    <x v="100"/>
    <x v="96"/>
    <x v="49"/>
    <x v="2"/>
    <x v="19"/>
    <x v="10"/>
    <x v="0"/>
    <x v="25"/>
    <x v="18"/>
  </r>
  <r>
    <x v="1"/>
    <x v="0"/>
    <x v="40"/>
    <x v="54"/>
    <x v="1"/>
    <x v="5"/>
    <x v="11"/>
    <x v="12"/>
    <x v="0"/>
    <x v="1"/>
    <x v="10"/>
  </r>
  <r>
    <x v="1"/>
    <x v="0"/>
    <x v="40"/>
    <x v="54"/>
    <x v="1"/>
    <x v="5"/>
    <x v="6"/>
    <x v="10"/>
    <x v="0"/>
    <x v="1"/>
    <x v="8"/>
  </r>
  <r>
    <x v="1"/>
    <x v="0"/>
    <x v="99"/>
    <x v="103"/>
    <x v="45"/>
    <x v="2"/>
    <x v="15"/>
    <x v="13"/>
    <x v="0"/>
    <x v="1"/>
    <x v="15"/>
  </r>
  <r>
    <x v="1"/>
    <x v="0"/>
    <x v="99"/>
    <x v="103"/>
    <x v="45"/>
    <x v="2"/>
    <x v="11"/>
    <x v="10"/>
    <x v="0"/>
    <x v="1"/>
    <x v="10"/>
  </r>
  <r>
    <x v="1"/>
    <x v="0"/>
    <x v="15"/>
    <x v="121"/>
    <x v="23"/>
    <x v="3"/>
    <x v="11"/>
    <x v="12"/>
    <x v="0"/>
    <x v="8"/>
    <x v="10"/>
  </r>
  <r>
    <x v="1"/>
    <x v="0"/>
    <x v="45"/>
    <x v="129"/>
    <x v="51"/>
    <x v="6"/>
    <x v="15"/>
    <x v="13"/>
    <x v="0"/>
    <x v="35"/>
    <x v="15"/>
  </r>
  <r>
    <x v="1"/>
    <x v="0"/>
    <x v="40"/>
    <x v="129"/>
    <x v="51"/>
    <x v="6"/>
    <x v="15"/>
    <x v="12"/>
    <x v="3"/>
    <x v="1"/>
    <x v="13"/>
  </r>
  <r>
    <x v="1"/>
    <x v="0"/>
    <x v="87"/>
    <x v="129"/>
    <x v="1"/>
    <x v="3"/>
    <x v="6"/>
    <x v="12"/>
    <x v="0"/>
    <x v="1"/>
    <x v="8"/>
  </r>
  <r>
    <x v="1"/>
    <x v="0"/>
    <x v="67"/>
    <x v="44"/>
    <x v="5"/>
    <x v="2"/>
    <x v="11"/>
    <x v="10"/>
    <x v="0"/>
    <x v="1"/>
    <x v="11"/>
  </r>
  <r>
    <x v="2"/>
    <x v="6"/>
    <x v="105"/>
    <x v="129"/>
    <x v="51"/>
    <x v="6"/>
    <x v="15"/>
    <x v="14"/>
    <x v="0"/>
    <x v="16"/>
    <x v="13"/>
  </r>
  <r>
    <x v="2"/>
    <x v="6"/>
    <x v="131"/>
    <x v="129"/>
    <x v="51"/>
    <x v="6"/>
    <x v="11"/>
    <x v="13"/>
    <x v="3"/>
    <x v="26"/>
    <x v="12"/>
  </r>
  <r>
    <x v="2"/>
    <x v="6"/>
    <x v="105"/>
    <x v="129"/>
    <x v="45"/>
    <x v="3"/>
    <x v="6"/>
    <x v="10"/>
    <x v="0"/>
    <x v="16"/>
    <x v="6"/>
  </r>
  <r>
    <x v="2"/>
    <x v="6"/>
    <x v="134"/>
    <x v="129"/>
    <x v="45"/>
    <x v="3"/>
    <x v="23"/>
    <x v="13"/>
    <x v="0"/>
    <x v="10"/>
    <x v="20"/>
  </r>
  <r>
    <x v="2"/>
    <x v="6"/>
    <x v="12"/>
    <x v="102"/>
    <x v="46"/>
    <x v="1"/>
    <x v="125"/>
    <x v="22"/>
    <x v="0"/>
    <x v="1"/>
    <x v="105"/>
  </r>
  <r>
    <x v="2"/>
    <x v="6"/>
    <x v="44"/>
    <x v="129"/>
    <x v="51"/>
    <x v="6"/>
    <x v="6"/>
    <x v="8"/>
    <x v="0"/>
    <x v="1"/>
    <x v="8"/>
  </r>
  <r>
    <x v="2"/>
    <x v="6"/>
    <x v="86"/>
    <x v="15"/>
    <x v="34"/>
    <x v="2"/>
    <x v="6"/>
    <x v="12"/>
    <x v="0"/>
    <x v="1"/>
    <x v="8"/>
  </r>
  <r>
    <x v="2"/>
    <x v="6"/>
    <x v="26"/>
    <x v="46"/>
    <x v="5"/>
    <x v="2"/>
    <x v="19"/>
    <x v="14"/>
    <x v="0"/>
    <x v="6"/>
    <x v="18"/>
  </r>
  <r>
    <x v="2"/>
    <x v="6"/>
    <x v="62"/>
    <x v="129"/>
    <x v="3"/>
    <x v="3"/>
    <x v="11"/>
    <x v="12"/>
    <x v="0"/>
    <x v="1"/>
    <x v="10"/>
  </r>
  <r>
    <x v="2"/>
    <x v="6"/>
    <x v="60"/>
    <x v="44"/>
    <x v="5"/>
    <x v="2"/>
    <x v="11"/>
    <x v="8"/>
    <x v="0"/>
    <x v="33"/>
    <x v="10"/>
  </r>
  <r>
    <x v="2"/>
    <x v="6"/>
    <x v="18"/>
    <x v="129"/>
    <x v="45"/>
    <x v="3"/>
    <x v="6"/>
    <x v="12"/>
    <x v="0"/>
    <x v="1"/>
    <x v="8"/>
  </r>
  <r>
    <x v="2"/>
    <x v="6"/>
    <x v="12"/>
    <x v="102"/>
    <x v="46"/>
    <x v="1"/>
    <x v="32"/>
    <x v="16"/>
    <x v="0"/>
    <x v="1"/>
    <x v="25"/>
  </r>
  <r>
    <x v="2"/>
    <x v="6"/>
    <x v="108"/>
    <x v="129"/>
    <x v="24"/>
    <x v="3"/>
    <x v="11"/>
    <x v="8"/>
    <x v="0"/>
    <x v="1"/>
    <x v="9"/>
  </r>
  <r>
    <x v="2"/>
    <x v="6"/>
    <x v="124"/>
    <x v="85"/>
    <x v="36"/>
    <x v="3"/>
    <x v="19"/>
    <x v="12"/>
    <x v="0"/>
    <x v="22"/>
    <x v="17"/>
  </r>
  <r>
    <x v="2"/>
    <x v="6"/>
    <x v="105"/>
    <x v="129"/>
    <x v="51"/>
    <x v="6"/>
    <x v="11"/>
    <x v="13"/>
    <x v="3"/>
    <x v="16"/>
    <x v="12"/>
  </r>
  <r>
    <x v="2"/>
    <x v="6"/>
    <x v="18"/>
    <x v="129"/>
    <x v="45"/>
    <x v="3"/>
    <x v="28"/>
    <x v="13"/>
    <x v="0"/>
    <x v="1"/>
    <x v="23"/>
  </r>
  <r>
    <x v="2"/>
    <x v="6"/>
    <x v="24"/>
    <x v="26"/>
    <x v="41"/>
    <x v="2"/>
    <x v="6"/>
    <x v="10"/>
    <x v="0"/>
    <x v="1"/>
    <x v="6"/>
  </r>
  <r>
    <x v="2"/>
    <x v="6"/>
    <x v="44"/>
    <x v="129"/>
    <x v="51"/>
    <x v="6"/>
    <x v="6"/>
    <x v="10"/>
    <x v="0"/>
    <x v="1"/>
    <x v="8"/>
  </r>
  <r>
    <x v="2"/>
    <x v="6"/>
    <x v="90"/>
    <x v="129"/>
    <x v="51"/>
    <x v="6"/>
    <x v="11"/>
    <x v="12"/>
    <x v="0"/>
    <x v="1"/>
    <x v="9"/>
  </r>
  <r>
    <x v="2"/>
    <x v="6"/>
    <x v="44"/>
    <x v="129"/>
    <x v="51"/>
    <x v="6"/>
    <x v="6"/>
    <x v="10"/>
    <x v="0"/>
    <x v="1"/>
    <x v="6"/>
  </r>
  <r>
    <x v="2"/>
    <x v="6"/>
    <x v="124"/>
    <x v="85"/>
    <x v="36"/>
    <x v="3"/>
    <x v="11"/>
    <x v="12"/>
    <x v="2"/>
    <x v="19"/>
    <x v="10"/>
  </r>
  <r>
    <x v="2"/>
    <x v="6"/>
    <x v="43"/>
    <x v="129"/>
    <x v="42"/>
    <x v="3"/>
    <x v="15"/>
    <x v="12"/>
    <x v="0"/>
    <x v="26"/>
    <x v="15"/>
  </r>
  <r>
    <x v="2"/>
    <x v="6"/>
    <x v="105"/>
    <x v="129"/>
    <x v="51"/>
    <x v="6"/>
    <x v="11"/>
    <x v="12"/>
    <x v="0"/>
    <x v="16"/>
    <x v="11"/>
  </r>
  <r>
    <x v="2"/>
    <x v="6"/>
    <x v="126"/>
    <x v="129"/>
    <x v="51"/>
    <x v="6"/>
    <x v="6"/>
    <x v="10"/>
    <x v="0"/>
    <x v="1"/>
    <x v="8"/>
  </r>
  <r>
    <x v="2"/>
    <x v="6"/>
    <x v="38"/>
    <x v="26"/>
    <x v="41"/>
    <x v="2"/>
    <x v="6"/>
    <x v="10"/>
    <x v="0"/>
    <x v="6"/>
    <x v="8"/>
  </r>
  <r>
    <x v="2"/>
    <x v="6"/>
    <x v="124"/>
    <x v="84"/>
    <x v="36"/>
    <x v="2"/>
    <x v="19"/>
    <x v="13"/>
    <x v="0"/>
    <x v="19"/>
    <x v="17"/>
  </r>
  <r>
    <x v="2"/>
    <x v="6"/>
    <x v="62"/>
    <x v="129"/>
    <x v="51"/>
    <x v="6"/>
    <x v="23"/>
    <x v="12"/>
    <x v="0"/>
    <x v="1"/>
    <x v="20"/>
  </r>
  <r>
    <x v="2"/>
    <x v="6"/>
    <x v="60"/>
    <x v="44"/>
    <x v="5"/>
    <x v="2"/>
    <x v="32"/>
    <x v="12"/>
    <x v="0"/>
    <x v="33"/>
    <x v="25"/>
  </r>
  <r>
    <x v="2"/>
    <x v="6"/>
    <x v="42"/>
    <x v="129"/>
    <x v="51"/>
    <x v="6"/>
    <x v="19"/>
    <x v="10"/>
    <x v="3"/>
    <x v="26"/>
    <x v="16"/>
  </r>
  <r>
    <x v="2"/>
    <x v="6"/>
    <x v="60"/>
    <x v="44"/>
    <x v="5"/>
    <x v="2"/>
    <x v="6"/>
    <x v="6"/>
    <x v="0"/>
    <x v="33"/>
    <x v="8"/>
  </r>
  <r>
    <x v="2"/>
    <x v="6"/>
    <x v="40"/>
    <x v="36"/>
    <x v="17"/>
    <x v="3"/>
    <x v="6"/>
    <x v="12"/>
    <x v="0"/>
    <x v="6"/>
    <x v="6"/>
  </r>
  <r>
    <x v="2"/>
    <x v="6"/>
    <x v="99"/>
    <x v="99"/>
    <x v="42"/>
    <x v="3"/>
    <x v="6"/>
    <x v="10"/>
    <x v="3"/>
    <x v="1"/>
    <x v="8"/>
  </r>
  <r>
    <x v="2"/>
    <x v="6"/>
    <x v="131"/>
    <x v="129"/>
    <x v="51"/>
    <x v="6"/>
    <x v="6"/>
    <x v="10"/>
    <x v="0"/>
    <x v="26"/>
    <x v="6"/>
  </r>
  <r>
    <x v="2"/>
    <x v="6"/>
    <x v="10"/>
    <x v="129"/>
    <x v="51"/>
    <x v="6"/>
    <x v="43"/>
    <x v="14"/>
    <x v="0"/>
    <x v="1"/>
    <x v="35"/>
  </r>
  <r>
    <x v="2"/>
    <x v="6"/>
    <x v="93"/>
    <x v="74"/>
    <x v="32"/>
    <x v="3"/>
    <x v="11"/>
    <x v="13"/>
    <x v="2"/>
    <x v="6"/>
    <x v="11"/>
  </r>
  <r>
    <x v="2"/>
    <x v="6"/>
    <x v="25"/>
    <x v="129"/>
    <x v="51"/>
    <x v="6"/>
    <x v="11"/>
    <x v="12"/>
    <x v="0"/>
    <x v="1"/>
    <x v="11"/>
  </r>
  <r>
    <x v="2"/>
    <x v="6"/>
    <x v="86"/>
    <x v="129"/>
    <x v="51"/>
    <x v="6"/>
    <x v="15"/>
    <x v="13"/>
    <x v="2"/>
    <x v="1"/>
    <x v="14"/>
  </r>
  <r>
    <x v="2"/>
    <x v="6"/>
    <x v="30"/>
    <x v="40"/>
    <x v="6"/>
    <x v="2"/>
    <x v="43"/>
    <x v="15"/>
    <x v="3"/>
    <x v="14"/>
    <x v="35"/>
  </r>
  <r>
    <x v="2"/>
    <x v="6"/>
    <x v="24"/>
    <x v="26"/>
    <x v="41"/>
    <x v="2"/>
    <x v="11"/>
    <x v="13"/>
    <x v="3"/>
    <x v="1"/>
    <x v="12"/>
  </r>
  <r>
    <x v="3"/>
    <x v="6"/>
    <x v="47"/>
    <x v="129"/>
    <x v="42"/>
    <x v="3"/>
    <x v="6"/>
    <x v="8"/>
    <x v="0"/>
    <x v="1"/>
    <x v="6"/>
  </r>
  <r>
    <x v="3"/>
    <x v="6"/>
    <x v="44"/>
    <x v="129"/>
    <x v="44"/>
    <x v="3"/>
    <x v="6"/>
    <x v="10"/>
    <x v="0"/>
    <x v="1"/>
    <x v="4"/>
  </r>
  <r>
    <x v="3"/>
    <x v="6"/>
    <x v="25"/>
    <x v="129"/>
    <x v="51"/>
    <x v="6"/>
    <x v="11"/>
    <x v="12"/>
    <x v="3"/>
    <x v="1"/>
    <x v="9"/>
  </r>
  <r>
    <x v="3"/>
    <x v="6"/>
    <x v="81"/>
    <x v="129"/>
    <x v="51"/>
    <x v="6"/>
    <x v="43"/>
    <x v="16"/>
    <x v="0"/>
    <x v="26"/>
    <x v="37"/>
  </r>
  <r>
    <x v="3"/>
    <x v="6"/>
    <x v="60"/>
    <x v="44"/>
    <x v="5"/>
    <x v="2"/>
    <x v="19"/>
    <x v="10"/>
    <x v="0"/>
    <x v="33"/>
    <x v="18"/>
  </r>
  <r>
    <x v="3"/>
    <x v="6"/>
    <x v="60"/>
    <x v="44"/>
    <x v="5"/>
    <x v="2"/>
    <x v="43"/>
    <x v="12"/>
    <x v="0"/>
    <x v="33"/>
    <x v="35"/>
  </r>
  <r>
    <x v="3"/>
    <x v="6"/>
    <x v="82"/>
    <x v="129"/>
    <x v="51"/>
    <x v="6"/>
    <x v="130"/>
    <x v="22"/>
    <x v="0"/>
    <x v="1"/>
    <x v="109"/>
  </r>
  <r>
    <x v="3"/>
    <x v="6"/>
    <x v="70"/>
    <x v="121"/>
    <x v="23"/>
    <x v="3"/>
    <x v="11"/>
    <x v="13"/>
    <x v="0"/>
    <x v="26"/>
    <x v="11"/>
  </r>
  <r>
    <x v="3"/>
    <x v="6"/>
    <x v="26"/>
    <x v="46"/>
    <x v="5"/>
    <x v="2"/>
    <x v="23"/>
    <x v="16"/>
    <x v="0"/>
    <x v="6"/>
    <x v="19"/>
  </r>
  <r>
    <x v="3"/>
    <x v="6"/>
    <x v="40"/>
    <x v="129"/>
    <x v="51"/>
    <x v="6"/>
    <x v="6"/>
    <x v="8"/>
    <x v="0"/>
    <x v="1"/>
    <x v="6"/>
  </r>
  <r>
    <x v="3"/>
    <x v="6"/>
    <x v="120"/>
    <x v="90"/>
    <x v="45"/>
    <x v="3"/>
    <x v="11"/>
    <x v="13"/>
    <x v="0"/>
    <x v="5"/>
    <x v="11"/>
  </r>
  <r>
    <x v="3"/>
    <x v="6"/>
    <x v="136"/>
    <x v="118"/>
    <x v="37"/>
    <x v="3"/>
    <x v="19"/>
    <x v="18"/>
    <x v="3"/>
    <x v="9"/>
    <x v="18"/>
  </r>
  <r>
    <x v="3"/>
    <x v="6"/>
    <x v="43"/>
    <x v="129"/>
    <x v="51"/>
    <x v="6"/>
    <x v="19"/>
    <x v="14"/>
    <x v="0"/>
    <x v="26"/>
    <x v="16"/>
  </r>
  <r>
    <x v="3"/>
    <x v="6"/>
    <x v="60"/>
    <x v="44"/>
    <x v="5"/>
    <x v="2"/>
    <x v="15"/>
    <x v="8"/>
    <x v="0"/>
    <x v="33"/>
    <x v="13"/>
  </r>
  <r>
    <x v="3"/>
    <x v="6"/>
    <x v="4"/>
    <x v="112"/>
    <x v="30"/>
    <x v="3"/>
    <x v="68"/>
    <x v="20"/>
    <x v="0"/>
    <x v="33"/>
    <x v="57"/>
  </r>
  <r>
    <x v="3"/>
    <x v="6"/>
    <x v="126"/>
    <x v="129"/>
    <x v="51"/>
    <x v="6"/>
    <x v="11"/>
    <x v="12"/>
    <x v="0"/>
    <x v="1"/>
    <x v="11"/>
  </r>
  <r>
    <x v="3"/>
    <x v="6"/>
    <x v="108"/>
    <x v="125"/>
    <x v="37"/>
    <x v="2"/>
    <x v="15"/>
    <x v="13"/>
    <x v="0"/>
    <x v="1"/>
    <x v="13"/>
  </r>
  <r>
    <x v="3"/>
    <x v="6"/>
    <x v="11"/>
    <x v="125"/>
    <x v="37"/>
    <x v="2"/>
    <x v="11"/>
    <x v="6"/>
    <x v="0"/>
    <x v="26"/>
    <x v="10"/>
  </r>
  <r>
    <x v="3"/>
    <x v="6"/>
    <x v="136"/>
    <x v="112"/>
    <x v="30"/>
    <x v="3"/>
    <x v="15"/>
    <x v="13"/>
    <x v="0"/>
    <x v="6"/>
    <x v="14"/>
  </r>
  <r>
    <x v="3"/>
    <x v="6"/>
    <x v="4"/>
    <x v="112"/>
    <x v="30"/>
    <x v="3"/>
    <x v="6"/>
    <x v="10"/>
    <x v="0"/>
    <x v="33"/>
    <x v="6"/>
  </r>
  <r>
    <x v="3"/>
    <x v="6"/>
    <x v="44"/>
    <x v="129"/>
    <x v="51"/>
    <x v="6"/>
    <x v="23"/>
    <x v="13"/>
    <x v="0"/>
    <x v="1"/>
    <x v="20"/>
  </r>
  <r>
    <x v="3"/>
    <x v="6"/>
    <x v="126"/>
    <x v="129"/>
    <x v="51"/>
    <x v="6"/>
    <x v="15"/>
    <x v="12"/>
    <x v="0"/>
    <x v="1"/>
    <x v="13"/>
  </r>
  <r>
    <x v="3"/>
    <x v="6"/>
    <x v="60"/>
    <x v="44"/>
    <x v="5"/>
    <x v="2"/>
    <x v="11"/>
    <x v="8"/>
    <x v="0"/>
    <x v="33"/>
    <x v="11"/>
  </r>
  <r>
    <x v="3"/>
    <x v="6"/>
    <x v="11"/>
    <x v="125"/>
    <x v="37"/>
    <x v="2"/>
    <x v="23"/>
    <x v="13"/>
    <x v="3"/>
    <x v="26"/>
    <x v="19"/>
  </r>
  <r>
    <x v="3"/>
    <x v="6"/>
    <x v="15"/>
    <x v="121"/>
    <x v="23"/>
    <x v="3"/>
    <x v="11"/>
    <x v="8"/>
    <x v="0"/>
    <x v="26"/>
    <x v="9"/>
  </r>
  <r>
    <x v="3"/>
    <x v="6"/>
    <x v="60"/>
    <x v="44"/>
    <x v="5"/>
    <x v="2"/>
    <x v="28"/>
    <x v="10"/>
    <x v="0"/>
    <x v="33"/>
    <x v="22"/>
  </r>
  <r>
    <x v="3"/>
    <x v="6"/>
    <x v="60"/>
    <x v="44"/>
    <x v="5"/>
    <x v="2"/>
    <x v="36"/>
    <x v="12"/>
    <x v="0"/>
    <x v="33"/>
    <x v="28"/>
  </r>
  <r>
    <x v="3"/>
    <x v="6"/>
    <x v="115"/>
    <x v="22"/>
    <x v="46"/>
    <x v="2"/>
    <x v="19"/>
    <x v="13"/>
    <x v="0"/>
    <x v="29"/>
    <x v="17"/>
  </r>
  <r>
    <x v="4"/>
    <x v="3"/>
    <x v="50"/>
    <x v="129"/>
    <x v="51"/>
    <x v="6"/>
    <x v="6"/>
    <x v="8"/>
    <x v="2"/>
    <x v="26"/>
    <x v="6"/>
  </r>
  <r>
    <x v="4"/>
    <x v="3"/>
    <x v="12"/>
    <x v="102"/>
    <x v="46"/>
    <x v="1"/>
    <x v="110"/>
    <x v="20"/>
    <x v="0"/>
    <x v="6"/>
    <x v="90"/>
  </r>
  <r>
    <x v="4"/>
    <x v="3"/>
    <x v="73"/>
    <x v="44"/>
    <x v="5"/>
    <x v="2"/>
    <x v="23"/>
    <x v="12"/>
    <x v="0"/>
    <x v="4"/>
    <x v="20"/>
  </r>
  <r>
    <x v="4"/>
    <x v="3"/>
    <x v="137"/>
    <x v="26"/>
    <x v="41"/>
    <x v="2"/>
    <x v="6"/>
    <x v="12"/>
    <x v="0"/>
    <x v="14"/>
    <x v="5"/>
  </r>
  <r>
    <x v="4"/>
    <x v="3"/>
    <x v="30"/>
    <x v="41"/>
    <x v="6"/>
    <x v="3"/>
    <x v="62"/>
    <x v="16"/>
    <x v="0"/>
    <x v="14"/>
    <x v="50"/>
  </r>
  <r>
    <x v="4"/>
    <x v="3"/>
    <x v="16"/>
    <x v="6"/>
    <x v="22"/>
    <x v="3"/>
    <x v="36"/>
    <x v="14"/>
    <x v="0"/>
    <x v="26"/>
    <x v="28"/>
  </r>
  <r>
    <x v="4"/>
    <x v="3"/>
    <x v="131"/>
    <x v="20"/>
    <x v="44"/>
    <x v="2"/>
    <x v="6"/>
    <x v="10"/>
    <x v="3"/>
    <x v="26"/>
    <x v="8"/>
  </r>
  <r>
    <x v="4"/>
    <x v="3"/>
    <x v="12"/>
    <x v="102"/>
    <x v="46"/>
    <x v="1"/>
    <x v="93"/>
    <x v="18"/>
    <x v="0"/>
    <x v="6"/>
    <x v="75"/>
  </r>
  <r>
    <x v="4"/>
    <x v="3"/>
    <x v="31"/>
    <x v="41"/>
    <x v="6"/>
    <x v="3"/>
    <x v="15"/>
    <x v="14"/>
    <x v="0"/>
    <x v="14"/>
    <x v="15"/>
  </r>
  <r>
    <x v="4"/>
    <x v="3"/>
    <x v="115"/>
    <x v="129"/>
    <x v="51"/>
    <x v="6"/>
    <x v="6"/>
    <x v="10"/>
    <x v="3"/>
    <x v="26"/>
    <x v="6"/>
  </r>
  <r>
    <x v="4"/>
    <x v="3"/>
    <x v="35"/>
    <x v="129"/>
    <x v="31"/>
    <x v="3"/>
    <x v="19"/>
    <x v="13"/>
    <x v="0"/>
    <x v="26"/>
    <x v="16"/>
  </r>
  <r>
    <x v="4"/>
    <x v="3"/>
    <x v="108"/>
    <x v="129"/>
    <x v="51"/>
    <x v="6"/>
    <x v="6"/>
    <x v="10"/>
    <x v="0"/>
    <x v="1"/>
    <x v="5"/>
  </r>
  <r>
    <x v="4"/>
    <x v="3"/>
    <x v="72"/>
    <x v="129"/>
    <x v="45"/>
    <x v="3"/>
    <x v="6"/>
    <x v="6"/>
    <x v="0"/>
    <x v="26"/>
    <x v="6"/>
  </r>
  <r>
    <x v="4"/>
    <x v="3"/>
    <x v="25"/>
    <x v="19"/>
    <x v="42"/>
    <x v="3"/>
    <x v="6"/>
    <x v="8"/>
    <x v="0"/>
    <x v="1"/>
    <x v="6"/>
  </r>
  <r>
    <x v="4"/>
    <x v="3"/>
    <x v="12"/>
    <x v="129"/>
    <x v="51"/>
    <x v="6"/>
    <x v="28"/>
    <x v="16"/>
    <x v="0"/>
    <x v="6"/>
    <x v="23"/>
  </r>
  <r>
    <x v="4"/>
    <x v="3"/>
    <x v="93"/>
    <x v="51"/>
    <x v="19"/>
    <x v="3"/>
    <x v="6"/>
    <x v="10"/>
    <x v="0"/>
    <x v="6"/>
    <x v="6"/>
  </r>
  <r>
    <x v="4"/>
    <x v="3"/>
    <x v="40"/>
    <x v="129"/>
    <x v="51"/>
    <x v="6"/>
    <x v="121"/>
    <x v="20"/>
    <x v="0"/>
    <x v="1"/>
    <x v="101"/>
  </r>
  <r>
    <x v="4"/>
    <x v="3"/>
    <x v="108"/>
    <x v="129"/>
    <x v="51"/>
    <x v="6"/>
    <x v="50"/>
    <x v="18"/>
    <x v="0"/>
    <x v="1"/>
    <x v="41"/>
  </r>
  <r>
    <x v="4"/>
    <x v="3"/>
    <x v="36"/>
    <x v="76"/>
    <x v="27"/>
    <x v="3"/>
    <x v="11"/>
    <x v="12"/>
    <x v="3"/>
    <x v="26"/>
    <x v="10"/>
  </r>
  <r>
    <x v="4"/>
    <x v="3"/>
    <x v="30"/>
    <x v="41"/>
    <x v="6"/>
    <x v="3"/>
    <x v="40"/>
    <x v="14"/>
    <x v="0"/>
    <x v="14"/>
    <x v="34"/>
  </r>
  <r>
    <x v="4"/>
    <x v="3"/>
    <x v="40"/>
    <x v="129"/>
    <x v="51"/>
    <x v="6"/>
    <x v="6"/>
    <x v="10"/>
    <x v="0"/>
    <x v="1"/>
    <x v="5"/>
  </r>
  <r>
    <x v="4"/>
    <x v="3"/>
    <x v="3"/>
    <x v="120"/>
    <x v="21"/>
    <x v="3"/>
    <x v="6"/>
    <x v="5"/>
    <x v="3"/>
    <x v="26"/>
    <x v="5"/>
  </r>
  <r>
    <x v="4"/>
    <x v="3"/>
    <x v="30"/>
    <x v="41"/>
    <x v="6"/>
    <x v="3"/>
    <x v="19"/>
    <x v="8"/>
    <x v="0"/>
    <x v="14"/>
    <x v="16"/>
  </r>
  <r>
    <x v="4"/>
    <x v="3"/>
    <x v="12"/>
    <x v="129"/>
    <x v="51"/>
    <x v="6"/>
    <x v="15"/>
    <x v="13"/>
    <x v="0"/>
    <x v="6"/>
    <x v="13"/>
  </r>
  <r>
    <x v="4"/>
    <x v="3"/>
    <x v="131"/>
    <x v="129"/>
    <x v="51"/>
    <x v="6"/>
    <x v="19"/>
    <x v="14"/>
    <x v="0"/>
    <x v="26"/>
    <x v="16"/>
  </r>
  <r>
    <x v="4"/>
    <x v="3"/>
    <x v="40"/>
    <x v="129"/>
    <x v="31"/>
    <x v="3"/>
    <x v="11"/>
    <x v="10"/>
    <x v="0"/>
    <x v="1"/>
    <x v="12"/>
  </r>
  <r>
    <x v="4"/>
    <x v="3"/>
    <x v="90"/>
    <x v="129"/>
    <x v="20"/>
    <x v="3"/>
    <x v="68"/>
    <x v="16"/>
    <x v="0"/>
    <x v="31"/>
    <x v="57"/>
  </r>
  <r>
    <x v="4"/>
    <x v="3"/>
    <x v="69"/>
    <x v="129"/>
    <x v="51"/>
    <x v="6"/>
    <x v="19"/>
    <x v="13"/>
    <x v="0"/>
    <x v="14"/>
    <x v="18"/>
  </r>
  <r>
    <x v="4"/>
    <x v="3"/>
    <x v="3"/>
    <x v="120"/>
    <x v="21"/>
    <x v="3"/>
    <x v="15"/>
    <x v="12"/>
    <x v="0"/>
    <x v="26"/>
    <x v="13"/>
  </r>
  <r>
    <x v="4"/>
    <x v="3"/>
    <x v="25"/>
    <x v="19"/>
    <x v="42"/>
    <x v="3"/>
    <x v="11"/>
    <x v="13"/>
    <x v="3"/>
    <x v="6"/>
    <x v="12"/>
  </r>
  <r>
    <x v="4"/>
    <x v="3"/>
    <x v="12"/>
    <x v="102"/>
    <x v="46"/>
    <x v="1"/>
    <x v="43"/>
    <x v="18"/>
    <x v="0"/>
    <x v="6"/>
    <x v="36"/>
  </r>
  <r>
    <x v="4"/>
    <x v="3"/>
    <x v="30"/>
    <x v="41"/>
    <x v="6"/>
    <x v="3"/>
    <x v="6"/>
    <x v="8"/>
    <x v="0"/>
    <x v="14"/>
    <x v="5"/>
  </r>
  <r>
    <x v="4"/>
    <x v="3"/>
    <x v="25"/>
    <x v="19"/>
    <x v="42"/>
    <x v="3"/>
    <x v="6"/>
    <x v="10"/>
    <x v="0"/>
    <x v="6"/>
    <x v="6"/>
  </r>
  <r>
    <x v="4"/>
    <x v="3"/>
    <x v="137"/>
    <x v="57"/>
    <x v="42"/>
    <x v="2"/>
    <x v="11"/>
    <x v="12"/>
    <x v="0"/>
    <x v="14"/>
    <x v="11"/>
  </r>
  <r>
    <x v="4"/>
    <x v="3"/>
    <x v="0"/>
    <x v="129"/>
    <x v="51"/>
    <x v="6"/>
    <x v="28"/>
    <x v="13"/>
    <x v="0"/>
    <x v="6"/>
    <x v="22"/>
  </r>
  <r>
    <x v="4"/>
    <x v="3"/>
    <x v="99"/>
    <x v="129"/>
    <x v="51"/>
    <x v="6"/>
    <x v="6"/>
    <x v="12"/>
    <x v="0"/>
    <x v="1"/>
    <x v="6"/>
  </r>
  <r>
    <x v="4"/>
    <x v="3"/>
    <x v="69"/>
    <x v="98"/>
    <x v="42"/>
    <x v="2"/>
    <x v="15"/>
    <x v="13"/>
    <x v="0"/>
    <x v="14"/>
    <x v="14"/>
  </r>
  <r>
    <x v="4"/>
    <x v="3"/>
    <x v="63"/>
    <x v="112"/>
    <x v="30"/>
    <x v="3"/>
    <x v="11"/>
    <x v="13"/>
    <x v="0"/>
    <x v="33"/>
    <x v="9"/>
  </r>
  <r>
    <x v="4"/>
    <x v="3"/>
    <x v="99"/>
    <x v="129"/>
    <x v="51"/>
    <x v="6"/>
    <x v="6"/>
    <x v="10"/>
    <x v="0"/>
    <x v="1"/>
    <x v="5"/>
  </r>
  <r>
    <x v="4"/>
    <x v="3"/>
    <x v="69"/>
    <x v="129"/>
    <x v="51"/>
    <x v="6"/>
    <x v="11"/>
    <x v="12"/>
    <x v="0"/>
    <x v="6"/>
    <x v="11"/>
  </r>
  <r>
    <x v="4"/>
    <x v="3"/>
    <x v="39"/>
    <x v="129"/>
    <x v="51"/>
    <x v="6"/>
    <x v="15"/>
    <x v="16"/>
    <x v="0"/>
    <x v="26"/>
    <x v="15"/>
  </r>
  <r>
    <x v="4"/>
    <x v="3"/>
    <x v="69"/>
    <x v="112"/>
    <x v="30"/>
    <x v="3"/>
    <x v="11"/>
    <x v="12"/>
    <x v="0"/>
    <x v="6"/>
    <x v="9"/>
  </r>
  <r>
    <x v="4"/>
    <x v="3"/>
    <x v="100"/>
    <x v="96"/>
    <x v="49"/>
    <x v="2"/>
    <x v="15"/>
    <x v="18"/>
    <x v="0"/>
    <x v="22"/>
    <x v="15"/>
  </r>
  <r>
    <x v="4"/>
    <x v="3"/>
    <x v="0"/>
    <x v="129"/>
    <x v="51"/>
    <x v="6"/>
    <x v="11"/>
    <x v="13"/>
    <x v="0"/>
    <x v="6"/>
    <x v="12"/>
  </r>
  <r>
    <x v="4"/>
    <x v="3"/>
    <x v="12"/>
    <x v="102"/>
    <x v="46"/>
    <x v="1"/>
    <x v="28"/>
    <x v="13"/>
    <x v="0"/>
    <x v="6"/>
    <x v="22"/>
  </r>
  <r>
    <x v="4"/>
    <x v="3"/>
    <x v="25"/>
    <x v="19"/>
    <x v="42"/>
    <x v="3"/>
    <x v="28"/>
    <x v="12"/>
    <x v="0"/>
    <x v="6"/>
    <x v="22"/>
  </r>
  <r>
    <x v="4"/>
    <x v="3"/>
    <x v="26"/>
    <x v="44"/>
    <x v="5"/>
    <x v="2"/>
    <x v="15"/>
    <x v="6"/>
    <x v="0"/>
    <x v="22"/>
    <x v="13"/>
  </r>
  <r>
    <x v="4"/>
    <x v="3"/>
    <x v="26"/>
    <x v="44"/>
    <x v="5"/>
    <x v="2"/>
    <x v="15"/>
    <x v="3"/>
    <x v="0"/>
    <x v="22"/>
    <x v="13"/>
  </r>
  <r>
    <x v="4"/>
    <x v="3"/>
    <x v="30"/>
    <x v="41"/>
    <x v="6"/>
    <x v="3"/>
    <x v="19"/>
    <x v="14"/>
    <x v="0"/>
    <x v="14"/>
    <x v="16"/>
  </r>
  <r>
    <x v="4"/>
    <x v="3"/>
    <x v="40"/>
    <x v="95"/>
    <x v="42"/>
    <x v="3"/>
    <x v="106"/>
    <x v="20"/>
    <x v="0"/>
    <x v="1"/>
    <x v="86"/>
  </r>
  <r>
    <x v="4"/>
    <x v="3"/>
    <x v="69"/>
    <x v="112"/>
    <x v="30"/>
    <x v="3"/>
    <x v="11"/>
    <x v="12"/>
    <x v="0"/>
    <x v="6"/>
    <x v="9"/>
  </r>
  <r>
    <x v="5"/>
    <x v="3"/>
    <x v="30"/>
    <x v="41"/>
    <x v="6"/>
    <x v="3"/>
    <x v="11"/>
    <x v="6"/>
    <x v="0"/>
    <x v="14"/>
    <x v="9"/>
  </r>
  <r>
    <x v="5"/>
    <x v="3"/>
    <x v="24"/>
    <x v="26"/>
    <x v="41"/>
    <x v="2"/>
    <x v="15"/>
    <x v="13"/>
    <x v="3"/>
    <x v="33"/>
    <x v="14"/>
  </r>
  <r>
    <x v="5"/>
    <x v="3"/>
    <x v="40"/>
    <x v="36"/>
    <x v="17"/>
    <x v="3"/>
    <x v="11"/>
    <x v="12"/>
    <x v="0"/>
    <x v="1"/>
    <x v="11"/>
  </r>
  <r>
    <x v="5"/>
    <x v="3"/>
    <x v="131"/>
    <x v="129"/>
    <x v="51"/>
    <x v="6"/>
    <x v="19"/>
    <x v="14"/>
    <x v="0"/>
    <x v="26"/>
    <x v="16"/>
  </r>
  <r>
    <x v="5"/>
    <x v="3"/>
    <x v="108"/>
    <x v="39"/>
    <x v="45"/>
    <x v="2"/>
    <x v="32"/>
    <x v="14"/>
    <x v="0"/>
    <x v="1"/>
    <x v="26"/>
  </r>
  <r>
    <x v="5"/>
    <x v="3"/>
    <x v="44"/>
    <x v="129"/>
    <x v="51"/>
    <x v="6"/>
    <x v="36"/>
    <x v="16"/>
    <x v="0"/>
    <x v="14"/>
    <x v="30"/>
  </r>
  <r>
    <x v="5"/>
    <x v="3"/>
    <x v="26"/>
    <x v="44"/>
    <x v="5"/>
    <x v="2"/>
    <x v="32"/>
    <x v="6"/>
    <x v="0"/>
    <x v="22"/>
    <x v="25"/>
  </r>
  <r>
    <x v="5"/>
    <x v="3"/>
    <x v="30"/>
    <x v="41"/>
    <x v="6"/>
    <x v="3"/>
    <x v="11"/>
    <x v="14"/>
    <x v="0"/>
    <x v="14"/>
    <x v="12"/>
  </r>
  <r>
    <x v="5"/>
    <x v="3"/>
    <x v="26"/>
    <x v="44"/>
    <x v="5"/>
    <x v="2"/>
    <x v="15"/>
    <x v="12"/>
    <x v="0"/>
    <x v="22"/>
    <x v="15"/>
  </r>
  <r>
    <x v="5"/>
    <x v="3"/>
    <x v="89"/>
    <x v="68"/>
    <x v="20"/>
    <x v="3"/>
    <x v="6"/>
    <x v="10"/>
    <x v="0"/>
    <x v="14"/>
    <x v="8"/>
  </r>
  <r>
    <x v="5"/>
    <x v="3"/>
    <x v="83"/>
    <x v="129"/>
    <x v="51"/>
    <x v="6"/>
    <x v="6"/>
    <x v="10"/>
    <x v="0"/>
    <x v="26"/>
    <x v="8"/>
  </r>
  <r>
    <x v="5"/>
    <x v="3"/>
    <x v="83"/>
    <x v="129"/>
    <x v="51"/>
    <x v="6"/>
    <x v="19"/>
    <x v="13"/>
    <x v="0"/>
    <x v="26"/>
    <x v="16"/>
  </r>
  <r>
    <x v="5"/>
    <x v="3"/>
    <x v="62"/>
    <x v="129"/>
    <x v="51"/>
    <x v="6"/>
    <x v="19"/>
    <x v="13"/>
    <x v="0"/>
    <x v="34"/>
    <x v="18"/>
  </r>
  <r>
    <x v="5"/>
    <x v="3"/>
    <x v="44"/>
    <x v="129"/>
    <x v="51"/>
    <x v="6"/>
    <x v="15"/>
    <x v="14"/>
    <x v="0"/>
    <x v="26"/>
    <x v="13"/>
  </r>
  <r>
    <x v="5"/>
    <x v="3"/>
    <x v="30"/>
    <x v="41"/>
    <x v="6"/>
    <x v="3"/>
    <x v="6"/>
    <x v="8"/>
    <x v="0"/>
    <x v="14"/>
    <x v="8"/>
  </r>
  <r>
    <x v="5"/>
    <x v="3"/>
    <x v="8"/>
    <x v="129"/>
    <x v="51"/>
    <x v="6"/>
    <x v="6"/>
    <x v="10"/>
    <x v="3"/>
    <x v="27"/>
    <x v="6"/>
  </r>
  <r>
    <x v="5"/>
    <x v="3"/>
    <x v="30"/>
    <x v="41"/>
    <x v="6"/>
    <x v="3"/>
    <x v="28"/>
    <x v="14"/>
    <x v="0"/>
    <x v="14"/>
    <x v="22"/>
  </r>
  <r>
    <x v="5"/>
    <x v="3"/>
    <x v="131"/>
    <x v="129"/>
    <x v="51"/>
    <x v="6"/>
    <x v="11"/>
    <x v="13"/>
    <x v="0"/>
    <x v="26"/>
    <x v="10"/>
  </r>
  <r>
    <x v="5"/>
    <x v="3"/>
    <x v="26"/>
    <x v="46"/>
    <x v="5"/>
    <x v="2"/>
    <x v="23"/>
    <x v="15"/>
    <x v="0"/>
    <x v="6"/>
    <x v="21"/>
  </r>
  <r>
    <x v="5"/>
    <x v="3"/>
    <x v="12"/>
    <x v="102"/>
    <x v="46"/>
    <x v="1"/>
    <x v="36"/>
    <x v="15"/>
    <x v="0"/>
    <x v="6"/>
    <x v="30"/>
  </r>
  <r>
    <x v="5"/>
    <x v="3"/>
    <x v="131"/>
    <x v="129"/>
    <x v="51"/>
    <x v="6"/>
    <x v="6"/>
    <x v="12"/>
    <x v="0"/>
    <x v="26"/>
    <x v="6"/>
  </r>
  <r>
    <x v="5"/>
    <x v="3"/>
    <x v="63"/>
    <x v="129"/>
    <x v="51"/>
    <x v="6"/>
    <x v="6"/>
    <x v="12"/>
    <x v="0"/>
    <x v="1"/>
    <x v="6"/>
  </r>
  <r>
    <x v="5"/>
    <x v="3"/>
    <x v="12"/>
    <x v="102"/>
    <x v="46"/>
    <x v="1"/>
    <x v="11"/>
    <x v="13"/>
    <x v="0"/>
    <x v="6"/>
    <x v="12"/>
  </r>
  <r>
    <x v="5"/>
    <x v="3"/>
    <x v="40"/>
    <x v="36"/>
    <x v="17"/>
    <x v="3"/>
    <x v="6"/>
    <x v="8"/>
    <x v="0"/>
    <x v="1"/>
    <x v="6"/>
  </r>
  <r>
    <x v="5"/>
    <x v="3"/>
    <x v="26"/>
    <x v="46"/>
    <x v="5"/>
    <x v="2"/>
    <x v="23"/>
    <x v="16"/>
    <x v="0"/>
    <x v="6"/>
    <x v="20"/>
  </r>
  <r>
    <x v="5"/>
    <x v="3"/>
    <x v="131"/>
    <x v="129"/>
    <x v="51"/>
    <x v="6"/>
    <x v="6"/>
    <x v="12"/>
    <x v="0"/>
    <x v="26"/>
    <x v="8"/>
  </r>
  <r>
    <x v="5"/>
    <x v="3"/>
    <x v="73"/>
    <x v="48"/>
    <x v="5"/>
    <x v="3"/>
    <x v="50"/>
    <x v="16"/>
    <x v="0"/>
    <x v="4"/>
    <x v="43"/>
  </r>
  <r>
    <x v="5"/>
    <x v="3"/>
    <x v="108"/>
    <x v="39"/>
    <x v="45"/>
    <x v="3"/>
    <x v="15"/>
    <x v="12"/>
    <x v="3"/>
    <x v="1"/>
    <x v="15"/>
  </r>
  <r>
    <x v="5"/>
    <x v="3"/>
    <x v="0"/>
    <x v="129"/>
    <x v="51"/>
    <x v="6"/>
    <x v="15"/>
    <x v="12"/>
    <x v="0"/>
    <x v="6"/>
    <x v="14"/>
  </r>
  <r>
    <x v="5"/>
    <x v="3"/>
    <x v="23"/>
    <x v="53"/>
    <x v="33"/>
    <x v="3"/>
    <x v="28"/>
    <x v="13"/>
    <x v="0"/>
    <x v="6"/>
    <x v="24"/>
  </r>
  <r>
    <x v="5"/>
    <x v="3"/>
    <x v="10"/>
    <x v="129"/>
    <x v="3"/>
    <x v="3"/>
    <x v="6"/>
    <x v="13"/>
    <x v="3"/>
    <x v="6"/>
    <x v="8"/>
  </r>
  <r>
    <x v="5"/>
    <x v="3"/>
    <x v="12"/>
    <x v="102"/>
    <x v="46"/>
    <x v="1"/>
    <x v="23"/>
    <x v="8"/>
    <x v="2"/>
    <x v="6"/>
    <x v="19"/>
  </r>
  <r>
    <x v="5"/>
    <x v="3"/>
    <x v="40"/>
    <x v="36"/>
    <x v="17"/>
    <x v="3"/>
    <x v="11"/>
    <x v="13"/>
    <x v="0"/>
    <x v="1"/>
    <x v="11"/>
  </r>
  <r>
    <x v="5"/>
    <x v="3"/>
    <x v="40"/>
    <x v="36"/>
    <x v="17"/>
    <x v="3"/>
    <x v="11"/>
    <x v="10"/>
    <x v="3"/>
    <x v="1"/>
    <x v="10"/>
  </r>
  <r>
    <x v="5"/>
    <x v="3"/>
    <x v="137"/>
    <x v="129"/>
    <x v="51"/>
    <x v="6"/>
    <x v="19"/>
    <x v="10"/>
    <x v="0"/>
    <x v="26"/>
    <x v="17"/>
  </r>
  <r>
    <x v="5"/>
    <x v="3"/>
    <x v="46"/>
    <x v="129"/>
    <x v="42"/>
    <x v="3"/>
    <x v="6"/>
    <x v="10"/>
    <x v="0"/>
    <x v="1"/>
    <x v="8"/>
  </r>
  <r>
    <x v="5"/>
    <x v="3"/>
    <x v="10"/>
    <x v="129"/>
    <x v="51"/>
    <x v="6"/>
    <x v="6"/>
    <x v="8"/>
    <x v="0"/>
    <x v="6"/>
    <x v="8"/>
  </r>
  <r>
    <x v="5"/>
    <x v="3"/>
    <x v="137"/>
    <x v="129"/>
    <x v="51"/>
    <x v="6"/>
    <x v="11"/>
    <x v="12"/>
    <x v="0"/>
    <x v="26"/>
    <x v="10"/>
  </r>
  <r>
    <x v="5"/>
    <x v="3"/>
    <x v="23"/>
    <x v="129"/>
    <x v="51"/>
    <x v="6"/>
    <x v="11"/>
    <x v="12"/>
    <x v="3"/>
    <x v="6"/>
    <x v="12"/>
  </r>
  <r>
    <x v="5"/>
    <x v="3"/>
    <x v="12"/>
    <x v="129"/>
    <x v="51"/>
    <x v="6"/>
    <x v="23"/>
    <x v="13"/>
    <x v="0"/>
    <x v="6"/>
    <x v="20"/>
  </r>
  <r>
    <x v="5"/>
    <x v="3"/>
    <x v="12"/>
    <x v="129"/>
    <x v="51"/>
    <x v="6"/>
    <x v="23"/>
    <x v="13"/>
    <x v="0"/>
    <x v="6"/>
    <x v="21"/>
  </r>
  <r>
    <x v="5"/>
    <x v="3"/>
    <x v="30"/>
    <x v="41"/>
    <x v="6"/>
    <x v="3"/>
    <x v="15"/>
    <x v="12"/>
    <x v="0"/>
    <x v="14"/>
    <x v="15"/>
  </r>
  <r>
    <x v="5"/>
    <x v="3"/>
    <x v="50"/>
    <x v="129"/>
    <x v="51"/>
    <x v="6"/>
    <x v="110"/>
    <x v="20"/>
    <x v="0"/>
    <x v="26"/>
    <x v="90"/>
  </r>
  <r>
    <x v="5"/>
    <x v="3"/>
    <x v="40"/>
    <x v="36"/>
    <x v="17"/>
    <x v="3"/>
    <x v="15"/>
    <x v="10"/>
    <x v="0"/>
    <x v="1"/>
    <x v="13"/>
  </r>
  <r>
    <x v="5"/>
    <x v="3"/>
    <x v="26"/>
    <x v="44"/>
    <x v="5"/>
    <x v="2"/>
    <x v="15"/>
    <x v="8"/>
    <x v="0"/>
    <x v="22"/>
    <x v="13"/>
  </r>
  <r>
    <x v="5"/>
    <x v="3"/>
    <x v="130"/>
    <x v="129"/>
    <x v="51"/>
    <x v="6"/>
    <x v="36"/>
    <x v="16"/>
    <x v="0"/>
    <x v="1"/>
    <x v="28"/>
  </r>
  <r>
    <x v="6"/>
    <x v="5"/>
    <x v="88"/>
    <x v="90"/>
    <x v="45"/>
    <x v="3"/>
    <x v="15"/>
    <x v="13"/>
    <x v="0"/>
    <x v="33"/>
    <x v="15"/>
  </r>
  <r>
    <x v="6"/>
    <x v="5"/>
    <x v="124"/>
    <x v="85"/>
    <x v="36"/>
    <x v="3"/>
    <x v="6"/>
    <x v="3"/>
    <x v="0"/>
    <x v="4"/>
    <x v="8"/>
  </r>
  <r>
    <x v="6"/>
    <x v="5"/>
    <x v="40"/>
    <x v="129"/>
    <x v="51"/>
    <x v="6"/>
    <x v="6"/>
    <x v="10"/>
    <x v="0"/>
    <x v="33"/>
    <x v="6"/>
  </r>
  <r>
    <x v="6"/>
    <x v="5"/>
    <x v="120"/>
    <x v="90"/>
    <x v="45"/>
    <x v="3"/>
    <x v="6"/>
    <x v="10"/>
    <x v="0"/>
    <x v="33"/>
    <x v="6"/>
  </r>
  <r>
    <x v="6"/>
    <x v="5"/>
    <x v="62"/>
    <x v="22"/>
    <x v="46"/>
    <x v="2"/>
    <x v="15"/>
    <x v="13"/>
    <x v="0"/>
    <x v="33"/>
    <x v="15"/>
  </r>
  <r>
    <x v="6"/>
    <x v="5"/>
    <x v="62"/>
    <x v="22"/>
    <x v="46"/>
    <x v="2"/>
    <x v="15"/>
    <x v="13"/>
    <x v="0"/>
    <x v="33"/>
    <x v="14"/>
  </r>
  <r>
    <x v="6"/>
    <x v="5"/>
    <x v="62"/>
    <x v="22"/>
    <x v="46"/>
    <x v="2"/>
    <x v="11"/>
    <x v="14"/>
    <x v="0"/>
    <x v="33"/>
    <x v="12"/>
  </r>
  <r>
    <x v="6"/>
    <x v="5"/>
    <x v="118"/>
    <x v="129"/>
    <x v="31"/>
    <x v="3"/>
    <x v="6"/>
    <x v="8"/>
    <x v="0"/>
    <x v="33"/>
    <x v="5"/>
  </r>
  <r>
    <x v="6"/>
    <x v="5"/>
    <x v="30"/>
    <x v="41"/>
    <x v="6"/>
    <x v="3"/>
    <x v="15"/>
    <x v="13"/>
    <x v="0"/>
    <x v="14"/>
    <x v="13"/>
  </r>
  <r>
    <x v="6"/>
    <x v="5"/>
    <x v="120"/>
    <x v="90"/>
    <x v="45"/>
    <x v="3"/>
    <x v="11"/>
    <x v="8"/>
    <x v="0"/>
    <x v="33"/>
    <x v="9"/>
  </r>
  <r>
    <x v="6"/>
    <x v="5"/>
    <x v="124"/>
    <x v="85"/>
    <x v="36"/>
    <x v="3"/>
    <x v="11"/>
    <x v="13"/>
    <x v="0"/>
    <x v="4"/>
    <x v="11"/>
  </r>
  <r>
    <x v="6"/>
    <x v="5"/>
    <x v="120"/>
    <x v="90"/>
    <x v="45"/>
    <x v="3"/>
    <x v="11"/>
    <x v="12"/>
    <x v="0"/>
    <x v="33"/>
    <x v="10"/>
  </r>
  <r>
    <x v="6"/>
    <x v="5"/>
    <x v="76"/>
    <x v="129"/>
    <x v="31"/>
    <x v="3"/>
    <x v="36"/>
    <x v="18"/>
    <x v="0"/>
    <x v="6"/>
    <x v="30"/>
  </r>
  <r>
    <x v="6"/>
    <x v="5"/>
    <x v="21"/>
    <x v="129"/>
    <x v="51"/>
    <x v="6"/>
    <x v="32"/>
    <x v="16"/>
    <x v="0"/>
    <x v="6"/>
    <x v="27"/>
  </r>
  <r>
    <x v="6"/>
    <x v="5"/>
    <x v="30"/>
    <x v="41"/>
    <x v="6"/>
    <x v="3"/>
    <x v="6"/>
    <x v="12"/>
    <x v="0"/>
    <x v="14"/>
    <x v="5"/>
  </r>
  <r>
    <x v="6"/>
    <x v="5"/>
    <x v="47"/>
    <x v="129"/>
    <x v="51"/>
    <x v="6"/>
    <x v="15"/>
    <x v="14"/>
    <x v="0"/>
    <x v="33"/>
    <x v="13"/>
  </r>
  <r>
    <x v="6"/>
    <x v="5"/>
    <x v="25"/>
    <x v="129"/>
    <x v="51"/>
    <x v="6"/>
    <x v="15"/>
    <x v="12"/>
    <x v="0"/>
    <x v="1"/>
    <x v="13"/>
  </r>
  <r>
    <x v="6"/>
    <x v="5"/>
    <x v="131"/>
    <x v="129"/>
    <x v="51"/>
    <x v="6"/>
    <x v="6"/>
    <x v="12"/>
    <x v="0"/>
    <x v="6"/>
    <x v="6"/>
  </r>
  <r>
    <x v="6"/>
    <x v="5"/>
    <x v="133"/>
    <x v="29"/>
    <x v="21"/>
    <x v="5"/>
    <x v="76"/>
    <x v="18"/>
    <x v="0"/>
    <x v="18"/>
    <x v="63"/>
  </r>
  <r>
    <x v="6"/>
    <x v="5"/>
    <x v="67"/>
    <x v="48"/>
    <x v="5"/>
    <x v="3"/>
    <x v="55"/>
    <x v="19"/>
    <x v="0"/>
    <x v="4"/>
    <x v="44"/>
  </r>
  <r>
    <x v="6"/>
    <x v="5"/>
    <x v="98"/>
    <x v="72"/>
    <x v="3"/>
    <x v="2"/>
    <x v="6"/>
    <x v="10"/>
    <x v="0"/>
    <x v="18"/>
    <x v="6"/>
  </r>
  <r>
    <x v="6"/>
    <x v="5"/>
    <x v="99"/>
    <x v="129"/>
    <x v="46"/>
    <x v="3"/>
    <x v="19"/>
    <x v="12"/>
    <x v="3"/>
    <x v="33"/>
    <x v="16"/>
  </r>
  <r>
    <x v="6"/>
    <x v="5"/>
    <x v="17"/>
    <x v="44"/>
    <x v="5"/>
    <x v="2"/>
    <x v="15"/>
    <x v="5"/>
    <x v="0"/>
    <x v="4"/>
    <x v="13"/>
  </r>
  <r>
    <x v="6"/>
    <x v="5"/>
    <x v="41"/>
    <x v="129"/>
    <x v="51"/>
    <x v="6"/>
    <x v="47"/>
    <x v="18"/>
    <x v="0"/>
    <x v="6"/>
    <x v="38"/>
  </r>
  <r>
    <x v="6"/>
    <x v="5"/>
    <x v="24"/>
    <x v="26"/>
    <x v="41"/>
    <x v="2"/>
    <x v="19"/>
    <x v="13"/>
    <x v="3"/>
    <x v="33"/>
    <x v="18"/>
  </r>
  <r>
    <x v="6"/>
    <x v="5"/>
    <x v="93"/>
    <x v="15"/>
    <x v="34"/>
    <x v="2"/>
    <x v="6"/>
    <x v="8"/>
    <x v="0"/>
    <x v="6"/>
    <x v="6"/>
  </r>
  <r>
    <x v="6"/>
    <x v="5"/>
    <x v="93"/>
    <x v="74"/>
    <x v="32"/>
    <x v="3"/>
    <x v="58"/>
    <x v="19"/>
    <x v="0"/>
    <x v="6"/>
    <x v="47"/>
  </r>
  <r>
    <x v="6"/>
    <x v="5"/>
    <x v="40"/>
    <x v="36"/>
    <x v="17"/>
    <x v="3"/>
    <x v="6"/>
    <x v="13"/>
    <x v="3"/>
    <x v="6"/>
    <x v="6"/>
  </r>
  <r>
    <x v="6"/>
    <x v="5"/>
    <x v="40"/>
    <x v="36"/>
    <x v="17"/>
    <x v="3"/>
    <x v="15"/>
    <x v="13"/>
    <x v="0"/>
    <x v="6"/>
    <x v="13"/>
  </r>
  <r>
    <x v="6"/>
    <x v="5"/>
    <x v="93"/>
    <x v="74"/>
    <x v="32"/>
    <x v="3"/>
    <x v="72"/>
    <x v="17"/>
    <x v="0"/>
    <x v="6"/>
    <x v="60"/>
  </r>
  <r>
    <x v="6"/>
    <x v="5"/>
    <x v="137"/>
    <x v="129"/>
    <x v="51"/>
    <x v="6"/>
    <x v="19"/>
    <x v="13"/>
    <x v="0"/>
    <x v="33"/>
    <x v="16"/>
  </r>
  <r>
    <x v="6"/>
    <x v="5"/>
    <x v="64"/>
    <x v="41"/>
    <x v="6"/>
    <x v="3"/>
    <x v="11"/>
    <x v="6"/>
    <x v="0"/>
    <x v="43"/>
    <x v="11"/>
  </r>
  <r>
    <x v="6"/>
    <x v="5"/>
    <x v="4"/>
    <x v="112"/>
    <x v="30"/>
    <x v="3"/>
    <x v="40"/>
    <x v="16"/>
    <x v="0"/>
    <x v="33"/>
    <x v="34"/>
  </r>
  <r>
    <x v="6"/>
    <x v="5"/>
    <x v="38"/>
    <x v="129"/>
    <x v="51"/>
    <x v="6"/>
    <x v="19"/>
    <x v="16"/>
    <x v="0"/>
    <x v="6"/>
    <x v="18"/>
  </r>
  <r>
    <x v="6"/>
    <x v="5"/>
    <x v="47"/>
    <x v="129"/>
    <x v="51"/>
    <x v="6"/>
    <x v="11"/>
    <x v="10"/>
    <x v="3"/>
    <x v="33"/>
    <x v="11"/>
  </r>
  <r>
    <x v="6"/>
    <x v="5"/>
    <x v="40"/>
    <x v="36"/>
    <x v="17"/>
    <x v="3"/>
    <x v="40"/>
    <x v="16"/>
    <x v="0"/>
    <x v="30"/>
    <x v="34"/>
  </r>
  <r>
    <x v="6"/>
    <x v="5"/>
    <x v="124"/>
    <x v="85"/>
    <x v="36"/>
    <x v="3"/>
    <x v="11"/>
    <x v="13"/>
    <x v="0"/>
    <x v="4"/>
    <x v="12"/>
  </r>
  <r>
    <x v="7"/>
    <x v="5"/>
    <x v="124"/>
    <x v="85"/>
    <x v="36"/>
    <x v="3"/>
    <x v="11"/>
    <x v="12"/>
    <x v="0"/>
    <x v="4"/>
    <x v="10"/>
  </r>
  <r>
    <x v="7"/>
    <x v="5"/>
    <x v="56"/>
    <x v="59"/>
    <x v="13"/>
    <x v="3"/>
    <x v="6"/>
    <x v="10"/>
    <x v="3"/>
    <x v="7"/>
    <x v="6"/>
  </r>
  <r>
    <x v="7"/>
    <x v="5"/>
    <x v="67"/>
    <x v="48"/>
    <x v="5"/>
    <x v="3"/>
    <x v="47"/>
    <x v="16"/>
    <x v="0"/>
    <x v="1"/>
    <x v="39"/>
  </r>
  <r>
    <x v="7"/>
    <x v="5"/>
    <x v="98"/>
    <x v="129"/>
    <x v="44"/>
    <x v="3"/>
    <x v="23"/>
    <x v="14"/>
    <x v="0"/>
    <x v="6"/>
    <x v="20"/>
  </r>
  <r>
    <x v="7"/>
    <x v="5"/>
    <x v="77"/>
    <x v="14"/>
    <x v="10"/>
    <x v="3"/>
    <x v="6"/>
    <x v="12"/>
    <x v="3"/>
    <x v="6"/>
    <x v="8"/>
  </r>
  <r>
    <x v="7"/>
    <x v="5"/>
    <x v="12"/>
    <x v="127"/>
    <x v="1"/>
    <x v="3"/>
    <x v="11"/>
    <x v="10"/>
    <x v="0"/>
    <x v="6"/>
    <x v="9"/>
  </r>
  <r>
    <x v="7"/>
    <x v="5"/>
    <x v="0"/>
    <x v="129"/>
    <x v="44"/>
    <x v="3"/>
    <x v="15"/>
    <x v="13"/>
    <x v="0"/>
    <x v="6"/>
    <x v="14"/>
  </r>
  <r>
    <x v="7"/>
    <x v="5"/>
    <x v="44"/>
    <x v="129"/>
    <x v="51"/>
    <x v="6"/>
    <x v="43"/>
    <x v="17"/>
    <x v="0"/>
    <x v="6"/>
    <x v="35"/>
  </r>
  <r>
    <x v="7"/>
    <x v="5"/>
    <x v="76"/>
    <x v="121"/>
    <x v="23"/>
    <x v="3"/>
    <x v="11"/>
    <x v="13"/>
    <x v="0"/>
    <x v="26"/>
    <x v="10"/>
  </r>
  <r>
    <x v="7"/>
    <x v="5"/>
    <x v="21"/>
    <x v="22"/>
    <x v="46"/>
    <x v="2"/>
    <x v="6"/>
    <x v="8"/>
    <x v="0"/>
    <x v="6"/>
    <x v="5"/>
  </r>
  <r>
    <x v="7"/>
    <x v="5"/>
    <x v="25"/>
    <x v="129"/>
    <x v="31"/>
    <x v="3"/>
    <x v="11"/>
    <x v="8"/>
    <x v="0"/>
    <x v="1"/>
    <x v="9"/>
  </r>
  <r>
    <x v="7"/>
    <x v="5"/>
    <x v="4"/>
    <x v="105"/>
    <x v="29"/>
    <x v="3"/>
    <x v="11"/>
    <x v="10"/>
    <x v="0"/>
    <x v="6"/>
    <x v="12"/>
  </r>
  <r>
    <x v="7"/>
    <x v="5"/>
    <x v="124"/>
    <x v="85"/>
    <x v="36"/>
    <x v="3"/>
    <x v="11"/>
    <x v="10"/>
    <x v="0"/>
    <x v="4"/>
    <x v="11"/>
  </r>
  <r>
    <x v="7"/>
    <x v="5"/>
    <x v="12"/>
    <x v="127"/>
    <x v="1"/>
    <x v="3"/>
    <x v="6"/>
    <x v="10"/>
    <x v="2"/>
    <x v="6"/>
    <x v="8"/>
  </r>
  <r>
    <x v="7"/>
    <x v="5"/>
    <x v="10"/>
    <x v="129"/>
    <x v="44"/>
    <x v="3"/>
    <x v="11"/>
    <x v="12"/>
    <x v="0"/>
    <x v="33"/>
    <x v="9"/>
  </r>
  <r>
    <x v="7"/>
    <x v="5"/>
    <x v="4"/>
    <x v="112"/>
    <x v="30"/>
    <x v="3"/>
    <x v="36"/>
    <x v="16"/>
    <x v="0"/>
    <x v="6"/>
    <x v="30"/>
  </r>
  <r>
    <x v="7"/>
    <x v="5"/>
    <x v="99"/>
    <x v="20"/>
    <x v="44"/>
    <x v="2"/>
    <x v="11"/>
    <x v="13"/>
    <x v="0"/>
    <x v="33"/>
    <x v="10"/>
  </r>
  <r>
    <x v="7"/>
    <x v="5"/>
    <x v="112"/>
    <x v="59"/>
    <x v="13"/>
    <x v="3"/>
    <x v="19"/>
    <x v="12"/>
    <x v="3"/>
    <x v="32"/>
    <x v="16"/>
  </r>
  <r>
    <x v="7"/>
    <x v="5"/>
    <x v="124"/>
    <x v="85"/>
    <x v="36"/>
    <x v="3"/>
    <x v="11"/>
    <x v="13"/>
    <x v="0"/>
    <x v="4"/>
    <x v="11"/>
  </r>
  <r>
    <x v="7"/>
    <x v="5"/>
    <x v="124"/>
    <x v="85"/>
    <x v="36"/>
    <x v="3"/>
    <x v="11"/>
    <x v="12"/>
    <x v="3"/>
    <x v="4"/>
    <x v="11"/>
  </r>
  <r>
    <x v="7"/>
    <x v="5"/>
    <x v="38"/>
    <x v="129"/>
    <x v="51"/>
    <x v="6"/>
    <x v="6"/>
    <x v="13"/>
    <x v="3"/>
    <x v="6"/>
    <x v="8"/>
  </r>
  <r>
    <x v="7"/>
    <x v="5"/>
    <x v="62"/>
    <x v="129"/>
    <x v="51"/>
    <x v="6"/>
    <x v="6"/>
    <x v="12"/>
    <x v="0"/>
    <x v="33"/>
    <x v="6"/>
  </r>
  <r>
    <x v="7"/>
    <x v="5"/>
    <x v="13"/>
    <x v="129"/>
    <x v="51"/>
    <x v="6"/>
    <x v="11"/>
    <x v="10"/>
    <x v="0"/>
    <x v="6"/>
    <x v="10"/>
  </r>
  <r>
    <x v="7"/>
    <x v="5"/>
    <x v="30"/>
    <x v="41"/>
    <x v="6"/>
    <x v="3"/>
    <x v="28"/>
    <x v="16"/>
    <x v="0"/>
    <x v="14"/>
    <x v="23"/>
  </r>
  <r>
    <x v="7"/>
    <x v="5"/>
    <x v="30"/>
    <x v="41"/>
    <x v="6"/>
    <x v="3"/>
    <x v="11"/>
    <x v="10"/>
    <x v="0"/>
    <x v="14"/>
    <x v="9"/>
  </r>
  <r>
    <x v="7"/>
    <x v="5"/>
    <x v="44"/>
    <x v="129"/>
    <x v="45"/>
    <x v="3"/>
    <x v="11"/>
    <x v="10"/>
    <x v="2"/>
    <x v="6"/>
    <x v="9"/>
  </r>
  <r>
    <x v="7"/>
    <x v="5"/>
    <x v="12"/>
    <x v="102"/>
    <x v="46"/>
    <x v="1"/>
    <x v="90"/>
    <x v="19"/>
    <x v="0"/>
    <x v="6"/>
    <x v="74"/>
  </r>
  <r>
    <x v="7"/>
    <x v="5"/>
    <x v="12"/>
    <x v="102"/>
    <x v="46"/>
    <x v="1"/>
    <x v="62"/>
    <x v="19"/>
    <x v="0"/>
    <x v="6"/>
    <x v="52"/>
  </r>
  <r>
    <x v="7"/>
    <x v="5"/>
    <x v="66"/>
    <x v="97"/>
    <x v="50"/>
    <x v="3"/>
    <x v="19"/>
    <x v="14"/>
    <x v="0"/>
    <x v="1"/>
    <x v="17"/>
  </r>
  <r>
    <x v="7"/>
    <x v="5"/>
    <x v="56"/>
    <x v="59"/>
    <x v="13"/>
    <x v="3"/>
    <x v="28"/>
    <x v="15"/>
    <x v="0"/>
    <x v="6"/>
    <x v="22"/>
  </r>
  <r>
    <x v="7"/>
    <x v="5"/>
    <x v="13"/>
    <x v="129"/>
    <x v="51"/>
    <x v="6"/>
    <x v="11"/>
    <x v="13"/>
    <x v="0"/>
    <x v="6"/>
    <x v="12"/>
  </r>
  <r>
    <x v="7"/>
    <x v="5"/>
    <x v="108"/>
    <x v="39"/>
    <x v="45"/>
    <x v="3"/>
    <x v="6"/>
    <x v="10"/>
    <x v="3"/>
    <x v="33"/>
    <x v="6"/>
  </r>
  <r>
    <x v="7"/>
    <x v="5"/>
    <x v="30"/>
    <x v="41"/>
    <x v="6"/>
    <x v="3"/>
    <x v="11"/>
    <x v="12"/>
    <x v="0"/>
    <x v="14"/>
    <x v="1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3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35" firstHeaderRow="1" firstDataRow="1" firstDataCol="1" rowPageCount="1" colPageCount="1"/>
  <pivotFields count="11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125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pageFields count="1">
    <pageField fld="10" hier="-1"/>
  </pageFields>
  <dataFields count="1">
    <dataField name="Count of Circonférence(cm)" fld="10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G2:M15" headerRowCount="1" totalsRowCount="0" totalsRowShown="0">
  <autoFilter ref="G2:M15"/>
  <tableColumns count="7">
    <tableColumn id="1" name="DBH précomptage"/>
    <tableColumn id="2" name="N320"/>
    <tableColumn id="3" name="G320"/>
    <tableColumn id="4" name="Gha"/>
    <tableColumn id="5" name="G%"/>
    <tableColumn id="6" name="Nha"/>
    <tableColumn id="7" name="N%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inaturalist.org/taxa/473821" TargetMode="External"/><Relationship Id="rId2" Type="http://schemas.openxmlformats.org/officeDocument/2006/relationships/hyperlink" Target="https://www.inaturalist.org/taxa/473821" TargetMode="External"/><Relationship Id="rId3" Type="http://schemas.openxmlformats.org/officeDocument/2006/relationships/hyperlink" Target="https://www.inaturalist.org/taxa/473821" TargetMode="External"/><Relationship Id="rId4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46"/>
  <sheetViews>
    <sheetView showFormulas="false" showGridLines="true" showRowColHeaders="true" showZeros="true" rightToLeft="false" tabSelected="false" showOutlineSymbols="true" defaultGridColor="true" view="normal" topLeftCell="E1" colorId="64" zoomScale="80" zoomScaleNormal="80" zoomScalePageLayoutView="100" workbookViewId="0">
      <selection pane="topLeft" activeCell="X11" activeCellId="0" sqref="X11"/>
    </sheetView>
  </sheetViews>
  <sheetFormatPr defaultColWidth="8.4765625" defaultRowHeight="14.25" customHeight="false" zeroHeight="false" outlineLevelRow="0" outlineLevelCol="0"/>
  <cols>
    <col collapsed="false" customWidth="true" hidden="false" outlineLevel="0" max="1" min="1" style="1" width="12.45"/>
    <col collapsed="false" customWidth="true" hidden="false" outlineLevel="0" max="2" min="2" style="1" width="16.67"/>
    <col collapsed="false" customWidth="true" hidden="false" outlineLevel="0" max="3" min="3" style="1" width="5.78"/>
    <col collapsed="false" customWidth="true" hidden="false" outlineLevel="0" max="4" min="4" style="1" width="7.78"/>
    <col collapsed="false" customWidth="true" hidden="false" outlineLevel="0" max="5" min="5" style="1" width="2"/>
    <col collapsed="false" customWidth="true" hidden="false" outlineLevel="0" max="6" min="6" style="1" width="7"/>
    <col collapsed="false" customWidth="true" hidden="false" outlineLevel="0" max="7" min="7" style="1" width="18.34"/>
    <col collapsed="false" customWidth="true" hidden="false" outlineLevel="0" max="8" min="8" style="1" width="14.11"/>
    <col collapsed="false" customWidth="true" hidden="false" outlineLevel="0" max="9" min="9" style="1" width="7.55"/>
    <col collapsed="false" customWidth="true" hidden="false" outlineLevel="0" max="10" min="10" style="1" width="6.22"/>
    <col collapsed="false" customWidth="true" hidden="false" outlineLevel="0" max="11" min="11" style="1" width="5.78"/>
    <col collapsed="false" customWidth="true" hidden="false" outlineLevel="0" max="12" min="12" style="1" width="8.22"/>
    <col collapsed="false" customWidth="true" hidden="false" outlineLevel="0" max="13" min="13" style="1" width="12.45"/>
    <col collapsed="false" customWidth="true" hidden="false" outlineLevel="0" max="28" min="14" style="1" width="3"/>
    <col collapsed="false" customWidth="true" hidden="false" outlineLevel="0" max="29" min="29" style="1" width="10.56"/>
    <col collapsed="false" customWidth="true" hidden="false" outlineLevel="0" max="30" min="30" style="1" width="2"/>
    <col collapsed="false" customWidth="true" hidden="false" outlineLevel="0" max="31" min="31" style="1" width="12"/>
    <col collapsed="false" customWidth="true" hidden="false" outlineLevel="0" max="32" min="32" style="1" width="11"/>
    <col collapsed="false" customWidth="true" hidden="false" outlineLevel="0" max="33" min="33" style="1" width="12"/>
    <col collapsed="false" customWidth="true" hidden="false" outlineLevel="0" max="34" min="34" style="1" width="2"/>
    <col collapsed="false" customWidth="true" hidden="false" outlineLevel="0" max="38" min="35" style="1" width="12"/>
    <col collapsed="false" customWidth="true" hidden="false" outlineLevel="0" max="39" min="39" style="1" width="3"/>
    <col collapsed="false" customWidth="true" hidden="false" outlineLevel="0" max="42" min="40" style="1" width="12"/>
    <col collapsed="false" customWidth="true" hidden="false" outlineLevel="0" max="43" min="43" style="1" width="3"/>
    <col collapsed="false" customWidth="true" hidden="false" outlineLevel="0" max="45" min="44" style="1" width="12"/>
    <col collapsed="false" customWidth="true" hidden="false" outlineLevel="0" max="46" min="46" style="1" width="3"/>
    <col collapsed="false" customWidth="true" hidden="false" outlineLevel="0" max="49" min="47" style="1" width="12"/>
    <col collapsed="false" customWidth="true" hidden="false" outlineLevel="0" max="50" min="50" style="1" width="3"/>
    <col collapsed="false" customWidth="true" hidden="false" outlineLevel="0" max="51" min="51" style="1" width="12"/>
    <col collapsed="false" customWidth="true" hidden="false" outlineLevel="0" max="52" min="52" style="1" width="11"/>
    <col collapsed="false" customWidth="true" hidden="false" outlineLevel="0" max="53" min="53" style="1" width="3"/>
    <col collapsed="false" customWidth="true" hidden="false" outlineLevel="0" max="57" min="54" style="1" width="12"/>
    <col collapsed="false" customWidth="true" hidden="false" outlineLevel="0" max="58" min="58" style="1" width="3"/>
    <col collapsed="false" customWidth="true" hidden="false" outlineLevel="0" max="60" min="59" style="1" width="12"/>
    <col collapsed="false" customWidth="true" hidden="false" outlineLevel="0" max="61" min="61" style="1" width="3"/>
    <col collapsed="false" customWidth="true" hidden="false" outlineLevel="0" max="64" min="62" style="1" width="12"/>
    <col collapsed="false" customWidth="true" hidden="false" outlineLevel="0" max="65" min="65" style="1" width="3"/>
    <col collapsed="false" customWidth="true" hidden="false" outlineLevel="0" max="66" min="66" style="1" width="12"/>
    <col collapsed="false" customWidth="true" hidden="false" outlineLevel="0" max="67" min="67" style="1" width="11"/>
    <col collapsed="false" customWidth="true" hidden="false" outlineLevel="0" max="70" min="68" style="1" width="12"/>
    <col collapsed="false" customWidth="true" hidden="false" outlineLevel="0" max="71" min="71" style="1" width="3"/>
    <col collapsed="false" customWidth="true" hidden="false" outlineLevel="0" max="73" min="72" style="1" width="12"/>
    <col collapsed="false" customWidth="true" hidden="false" outlineLevel="0" max="74" min="74" style="1" width="3"/>
    <col collapsed="false" customWidth="true" hidden="false" outlineLevel="0" max="77" min="75" style="1" width="12"/>
    <col collapsed="false" customWidth="true" hidden="false" outlineLevel="0" max="78" min="78" style="1" width="3"/>
    <col collapsed="false" customWidth="true" hidden="false" outlineLevel="0" max="79" min="79" style="1" width="12"/>
    <col collapsed="false" customWidth="true" hidden="false" outlineLevel="0" max="80" min="80" style="1" width="11"/>
    <col collapsed="false" customWidth="true" hidden="false" outlineLevel="0" max="85" min="81" style="1" width="12"/>
    <col collapsed="false" customWidth="true" hidden="false" outlineLevel="0" max="86" min="86" style="1" width="3"/>
    <col collapsed="false" customWidth="true" hidden="false" outlineLevel="0" max="87" min="87" style="1" width="12"/>
    <col collapsed="false" customWidth="true" hidden="false" outlineLevel="0" max="88" min="88" style="1" width="11"/>
    <col collapsed="false" customWidth="true" hidden="false" outlineLevel="0" max="91" min="89" style="1" width="12"/>
    <col collapsed="false" customWidth="true" hidden="false" outlineLevel="0" max="92" min="92" style="1" width="3"/>
    <col collapsed="false" customWidth="true" hidden="false" outlineLevel="0" max="94" min="93" style="1" width="12"/>
    <col collapsed="false" customWidth="true" hidden="false" outlineLevel="0" max="95" min="95" style="1" width="3"/>
    <col collapsed="false" customWidth="true" hidden="false" outlineLevel="0" max="107" min="96" style="1" width="12"/>
    <col collapsed="false" customWidth="true" hidden="false" outlineLevel="0" max="108" min="108" style="1" width="3"/>
    <col collapsed="false" customWidth="true" hidden="false" outlineLevel="0" max="111" min="109" style="1" width="12"/>
    <col collapsed="false" customWidth="true" hidden="false" outlineLevel="0" max="112" min="112" style="1" width="3"/>
    <col collapsed="false" customWidth="true" hidden="false" outlineLevel="0" max="119" min="113" style="1" width="12"/>
    <col collapsed="false" customWidth="true" hidden="false" outlineLevel="0" max="120" min="120" style="1" width="11"/>
    <col collapsed="false" customWidth="true" hidden="false" outlineLevel="0" max="121" min="121" style="1" width="12"/>
    <col collapsed="false" customWidth="true" hidden="false" outlineLevel="0" max="123" min="122" style="1" width="3"/>
    <col collapsed="false" customWidth="true" hidden="false" outlineLevel="0" max="124" min="124" style="1" width="12"/>
    <col collapsed="false" customWidth="true" hidden="false" outlineLevel="0" max="125" min="125" style="1" width="11"/>
    <col collapsed="false" customWidth="true" hidden="false" outlineLevel="0" max="126" min="126" style="1" width="12"/>
    <col collapsed="false" customWidth="true" hidden="false" outlineLevel="0" max="127" min="127" style="1" width="3"/>
    <col collapsed="false" customWidth="true" hidden="false" outlineLevel="0" max="131" min="128" style="1" width="12"/>
    <col collapsed="false" customWidth="true" hidden="false" outlineLevel="0" max="132" min="132" style="1" width="3"/>
    <col collapsed="false" customWidth="true" hidden="false" outlineLevel="0" max="137" min="133" style="1" width="12"/>
    <col collapsed="false" customWidth="true" hidden="false" outlineLevel="0" max="138" min="138" style="1" width="11"/>
    <col collapsed="false" customWidth="true" hidden="false" outlineLevel="0" max="145" min="139" style="1" width="12"/>
    <col collapsed="false" customWidth="true" hidden="false" outlineLevel="0" max="146" min="146" style="1" width="11"/>
    <col collapsed="false" customWidth="true" hidden="false" outlineLevel="0" max="147" min="147" style="1" width="10.56"/>
  </cols>
  <sheetData>
    <row r="2" customFormat="false" ht="14.25" hidden="false" customHeight="false" outlineLevel="0" collapsed="false">
      <c r="A2" s="1" t="s">
        <v>0</v>
      </c>
      <c r="B2" s="1" t="s">
        <v>1</v>
      </c>
      <c r="C2" s="1" t="s">
        <v>2</v>
      </c>
      <c r="F2" s="1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</row>
    <row r="3" customFormat="false" ht="14.25" hidden="false" customHeight="false" outlineLevel="0" collapsed="false">
      <c r="A3" s="1" t="n">
        <v>3</v>
      </c>
      <c r="B3" s="1" t="n">
        <v>77</v>
      </c>
      <c r="C3" s="1" t="n">
        <f aca="false">B3*PI()*((A3/100)^2)/4</f>
        <v>0.0544280927234432</v>
      </c>
      <c r="F3" s="1" t="n">
        <f aca="false">(G3)*PI()</f>
        <v>9.42477796076938</v>
      </c>
      <c r="G3" s="1" t="n">
        <v>3</v>
      </c>
      <c r="H3" s="1" t="n">
        <f aca="false">SUM(B3:B$46)</f>
        <v>302</v>
      </c>
      <c r="I3" s="1" t="n">
        <f aca="false">SUM(C3:C$46)</f>
        <v>1.85361820543432</v>
      </c>
      <c r="J3" s="1" t="n">
        <v>57.9255689198224</v>
      </c>
      <c r="K3" s="1" t="n">
        <f aca="false">ROUND(J3/J$3,2)</f>
        <v>1</v>
      </c>
      <c r="L3" s="1" t="n">
        <v>9437.5</v>
      </c>
      <c r="M3" s="1" t="n">
        <f aca="false">L3/L$3</f>
        <v>1</v>
      </c>
    </row>
    <row r="4" customFormat="false" ht="14.25" hidden="false" customHeight="false" outlineLevel="0" collapsed="false">
      <c r="A4" s="1" t="n">
        <v>4</v>
      </c>
      <c r="B4" s="1" t="n">
        <v>73</v>
      </c>
      <c r="C4" s="1" t="n">
        <f aca="false">B4*PI()*((A4/100)^2)/4</f>
        <v>0.091734505484822</v>
      </c>
      <c r="F4" s="1" t="n">
        <f aca="false">(G4)*PI()</f>
        <v>12.5663706143592</v>
      </c>
      <c r="G4" s="1" t="n">
        <v>4</v>
      </c>
      <c r="H4" s="1" t="n">
        <f aca="false">SUM(B4:B$46)</f>
        <v>225</v>
      </c>
      <c r="I4" s="1" t="n">
        <f aca="false">SUM(C4:C$46)</f>
        <v>1.79919011271087</v>
      </c>
      <c r="J4" s="1" t="n">
        <v>56.2246910222148</v>
      </c>
      <c r="K4" s="1" t="n">
        <f aca="false">ROUND(J4/J$3,2)</f>
        <v>0.97</v>
      </c>
      <c r="L4" s="1" t="n">
        <v>7031.25</v>
      </c>
      <c r="M4" s="1" t="n">
        <f aca="false">ROUND(L4/L$3,2)</f>
        <v>0.75</v>
      </c>
    </row>
    <row r="5" customFormat="false" ht="14.25" hidden="false" customHeight="false" outlineLevel="0" collapsed="false">
      <c r="A5" s="1" t="n">
        <v>5</v>
      </c>
      <c r="B5" s="1" t="n">
        <v>42</v>
      </c>
      <c r="C5" s="1" t="n">
        <f aca="false">B5*PI()*((A5/100)^2)/4</f>
        <v>0.0824668071567321</v>
      </c>
      <c r="F5" s="1" t="n">
        <f aca="false">(G5)*PI()</f>
        <v>15.707963267949</v>
      </c>
      <c r="G5" s="1" t="n">
        <v>5</v>
      </c>
      <c r="H5" s="1" t="n">
        <f aca="false">SUM(B5:B$46)</f>
        <v>152</v>
      </c>
      <c r="I5" s="1" t="n">
        <f aca="false">SUM(C5:C$46)</f>
        <v>1.70745560722605</v>
      </c>
      <c r="J5" s="1" t="n">
        <v>53.3579877258141</v>
      </c>
      <c r="K5" s="1" t="n">
        <f aca="false">ROUND(J5/J$3,2)</f>
        <v>0.92</v>
      </c>
      <c r="L5" s="1" t="n">
        <v>4750</v>
      </c>
      <c r="M5" s="1" t="n">
        <f aca="false">ROUND(L5/L$3,2)</f>
        <v>0.5</v>
      </c>
    </row>
    <row r="6" customFormat="false" ht="14.25" hidden="false" customHeight="false" outlineLevel="0" collapsed="false">
      <c r="A6" s="1" t="n">
        <v>6</v>
      </c>
      <c r="B6" s="1" t="n">
        <v>25</v>
      </c>
      <c r="C6" s="1" t="n">
        <f aca="false">B6*PI()*((A6/100)^2)/4</f>
        <v>0.0706858347057704</v>
      </c>
      <c r="F6" s="1" t="n">
        <f aca="false">(G6)*PI()</f>
        <v>18.8495559215388</v>
      </c>
      <c r="G6" s="1" t="n">
        <v>6</v>
      </c>
      <c r="H6" s="1" t="n">
        <f aca="false">SUM(B6:B$46)</f>
        <v>110</v>
      </c>
      <c r="I6" s="1" t="n">
        <f aca="false">SUM(C6:C$46)</f>
        <v>1.62498880006932</v>
      </c>
      <c r="J6" s="1" t="n">
        <v>50.7809000021663</v>
      </c>
      <c r="K6" s="1" t="n">
        <f aca="false">ROUND(J6/J$3,2)</f>
        <v>0.88</v>
      </c>
      <c r="L6" s="1" t="n">
        <v>3437.5</v>
      </c>
      <c r="M6" s="1" t="n">
        <f aca="false">ROUND(L6/L$3,2)</f>
        <v>0.36</v>
      </c>
    </row>
    <row r="7" customFormat="false" ht="14.25" hidden="false" customHeight="false" outlineLevel="0" collapsed="false">
      <c r="A7" s="1" t="n">
        <v>7</v>
      </c>
      <c r="B7" s="1" t="n">
        <v>20</v>
      </c>
      <c r="C7" s="1" t="n">
        <f aca="false">B7*PI()*((A7/100)^2)/4</f>
        <v>0.07696902001295</v>
      </c>
      <c r="F7" s="1" t="n">
        <f aca="false">(G7)*PI()</f>
        <v>21.9911485751286</v>
      </c>
      <c r="G7" s="1" t="n">
        <v>7</v>
      </c>
      <c r="H7" s="1" t="n">
        <f aca="false">SUM(B7:B$46)</f>
        <v>85</v>
      </c>
      <c r="I7" s="1" t="n">
        <f aca="false">SUM(C7:C$46)</f>
        <v>1.55430296536355</v>
      </c>
      <c r="J7" s="1" t="n">
        <v>48.571967667611</v>
      </c>
      <c r="K7" s="1" t="n">
        <f aca="false">ROUND(J7/J$3,2)</f>
        <v>0.84</v>
      </c>
      <c r="L7" s="1" t="n">
        <v>2656.25</v>
      </c>
      <c r="M7" s="1" t="n">
        <f aca="false">ROUND(L7/L$3,2)</f>
        <v>0.28</v>
      </c>
    </row>
    <row r="8" customFormat="false" ht="14.25" hidden="false" customHeight="false" outlineLevel="0" collapsed="false">
      <c r="A8" s="1" t="n">
        <v>8</v>
      </c>
      <c r="B8" s="1" t="n">
        <v>13</v>
      </c>
      <c r="C8" s="1" t="n">
        <f aca="false">B8*PI()*((A8/100)^2)/4</f>
        <v>0.0653451271946677</v>
      </c>
      <c r="F8" s="1" t="n">
        <f aca="false">(G8)*PI()</f>
        <v>25.1327412287183</v>
      </c>
      <c r="G8" s="1" t="n">
        <v>8</v>
      </c>
      <c r="H8" s="1" t="n">
        <f aca="false">SUM(B8:B$46)</f>
        <v>65</v>
      </c>
      <c r="I8" s="1" t="n">
        <f aca="false">SUM(C8:C$46)</f>
        <v>1.4773339453506</v>
      </c>
      <c r="J8" s="1" t="n">
        <v>46.1666857922063</v>
      </c>
      <c r="K8" s="1" t="n">
        <f aca="false">ROUND(J8/J$3,2)</f>
        <v>0.8</v>
      </c>
      <c r="L8" s="1" t="n">
        <v>2031.25</v>
      </c>
      <c r="M8" s="1" t="n">
        <f aca="false">ROUND(L8/L$3,2)</f>
        <v>0.22</v>
      </c>
    </row>
    <row r="9" customFormat="false" ht="14.25" hidden="false" customHeight="false" outlineLevel="0" collapsed="false">
      <c r="A9" s="1" t="n">
        <v>9</v>
      </c>
      <c r="B9" s="1" t="n">
        <v>9</v>
      </c>
      <c r="C9" s="1" t="n">
        <f aca="false">B9*PI()*((A9/100)^2)/4</f>
        <v>0.057255526111674</v>
      </c>
      <c r="F9" s="1" t="n">
        <f aca="false">(G9)*PI()</f>
        <v>28.2743338823081</v>
      </c>
      <c r="G9" s="1" t="n">
        <v>9</v>
      </c>
      <c r="H9" s="1" t="n">
        <f aca="false">SUM(B9:B$46)</f>
        <v>52</v>
      </c>
      <c r="I9" s="1" t="n">
        <f aca="false">SUM(C9:C$46)</f>
        <v>1.41198881815593</v>
      </c>
      <c r="J9" s="1" t="n">
        <v>44.1246505673729</v>
      </c>
      <c r="K9" s="1" t="n">
        <f aca="false">ROUND(J9/J$3,2)</f>
        <v>0.76</v>
      </c>
      <c r="L9" s="1" t="n">
        <v>1625</v>
      </c>
      <c r="M9" s="1" t="n">
        <f aca="false">ROUND(L9/L$3,2)</f>
        <v>0.17</v>
      </c>
    </row>
    <row r="10" customFormat="false" ht="14.25" hidden="false" customHeight="false" outlineLevel="0" collapsed="false">
      <c r="A10" s="1" t="n">
        <v>10</v>
      </c>
      <c r="B10" s="1" t="n">
        <v>8</v>
      </c>
      <c r="C10" s="1" t="n">
        <f aca="false">B10*PI()*((A10/100)^2)/4</f>
        <v>0.0628318530717959</v>
      </c>
      <c r="F10" s="1" t="n">
        <f aca="false">(G10)*PI()</f>
        <v>31.4159265358979</v>
      </c>
      <c r="G10" s="1" t="n">
        <v>10</v>
      </c>
      <c r="H10" s="1" t="n">
        <f aca="false">SUM(B10:B$46)</f>
        <v>43</v>
      </c>
      <c r="I10" s="1" t="n">
        <f aca="false">SUM(C10:C$46)</f>
        <v>1.35473329204426</v>
      </c>
      <c r="J10" s="1" t="n">
        <v>42.3354153763831</v>
      </c>
      <c r="K10" s="1" t="n">
        <f aca="false">ROUND(J10/J$3,2)</f>
        <v>0.73</v>
      </c>
      <c r="L10" s="1" t="n">
        <v>1343.75</v>
      </c>
      <c r="M10" s="1" t="n">
        <f aca="false">ROUND(L10/L$3,2)</f>
        <v>0.14</v>
      </c>
    </row>
    <row r="11" customFormat="false" ht="14.25" hidden="false" customHeight="false" outlineLevel="0" collapsed="false">
      <c r="A11" s="1" t="n">
        <v>11</v>
      </c>
      <c r="B11" s="1" t="n">
        <v>4</v>
      </c>
      <c r="C11" s="1" t="n">
        <f aca="false">B11*PI()*((A11/100)^2)/4</f>
        <v>0.0380132711084365</v>
      </c>
      <c r="F11" s="1" t="n">
        <f aca="false">(G11)*PI()</f>
        <v>34.5575191894877</v>
      </c>
      <c r="G11" s="1" t="n">
        <v>11</v>
      </c>
      <c r="H11" s="1" t="n">
        <f aca="false">SUM(B11:B$46)</f>
        <v>35</v>
      </c>
      <c r="I11" s="1" t="n">
        <f aca="false">SUM(C11:C$46)</f>
        <v>1.29190143897246</v>
      </c>
      <c r="J11" s="1" t="n">
        <v>40.3719199678895</v>
      </c>
      <c r="K11" s="1" t="n">
        <f aca="false">ROUND(J11/J$3,2)</f>
        <v>0.7</v>
      </c>
      <c r="L11" s="1" t="n">
        <v>1093.75</v>
      </c>
      <c r="M11" s="1" t="n">
        <f aca="false">ROUND(L11/L$3,2)</f>
        <v>0.12</v>
      </c>
    </row>
    <row r="12" customFormat="false" ht="14.25" hidden="false" customHeight="false" outlineLevel="0" collapsed="false">
      <c r="A12" s="1" t="n">
        <v>12</v>
      </c>
      <c r="B12" s="1" t="n">
        <v>6</v>
      </c>
      <c r="C12" s="1" t="n">
        <f aca="false">B12*PI()*((A12/100)^2)/4</f>
        <v>0.0678584013175395</v>
      </c>
      <c r="F12" s="1" t="n">
        <f aca="false">(G12)*PI()</f>
        <v>37.6991118430775</v>
      </c>
      <c r="G12" s="1" t="n">
        <v>12</v>
      </c>
      <c r="H12" s="1" t="n">
        <f aca="false">SUM(B12:B$46)</f>
        <v>31</v>
      </c>
      <c r="I12" s="1" t="n">
        <f aca="false">SUM(C12:C$46)</f>
        <v>1.25388816786403</v>
      </c>
      <c r="J12" s="1" t="n">
        <v>39.1840052457508</v>
      </c>
      <c r="K12" s="1" t="n">
        <f aca="false">ROUND(J12/J$3,2)</f>
        <v>0.68</v>
      </c>
      <c r="L12" s="1" t="n">
        <v>968.75</v>
      </c>
      <c r="M12" s="1" t="n">
        <f aca="false">ROUND(L12/L$3,2)</f>
        <v>0.1</v>
      </c>
    </row>
    <row r="13" customFormat="false" ht="14.25" hidden="false" customHeight="false" outlineLevel="0" collapsed="false">
      <c r="A13" s="1" t="n">
        <v>13</v>
      </c>
      <c r="B13" s="1" t="n">
        <v>3</v>
      </c>
      <c r="C13" s="1" t="n">
        <f aca="false">B13*PI()*((A13/100)^2)/4</f>
        <v>0.0398196868842506</v>
      </c>
      <c r="F13" s="1" t="n">
        <f aca="false">(G13)*PI()</f>
        <v>40.8407044966673</v>
      </c>
      <c r="G13" s="1" t="n">
        <v>13</v>
      </c>
      <c r="H13" s="1" t="n">
        <f aca="false">SUM(B13:B$46)</f>
        <v>25</v>
      </c>
      <c r="I13" s="1" t="n">
        <f aca="false">SUM(C13:C$46)</f>
        <v>1.18602976654649</v>
      </c>
      <c r="J13" s="1" t="n">
        <v>37.0634302045777</v>
      </c>
      <c r="K13" s="1" t="n">
        <f aca="false">ROUND(J13/J$3,2)</f>
        <v>0.64</v>
      </c>
      <c r="L13" s="1" t="n">
        <v>781.25</v>
      </c>
      <c r="M13" s="1" t="n">
        <f aca="false">ROUND(L13/L$3,2)</f>
        <v>0.08</v>
      </c>
    </row>
    <row r="14" customFormat="false" ht="14.25" hidden="false" customHeight="false" outlineLevel="0" collapsed="false">
      <c r="A14" s="1" t="n">
        <v>14</v>
      </c>
      <c r="B14" s="1" t="n">
        <v>3</v>
      </c>
      <c r="C14" s="1" t="n">
        <f aca="false">B14*PI()*((A14/100)^2)/4</f>
        <v>0.04618141200777</v>
      </c>
      <c r="F14" s="1" t="n">
        <f aca="false">(G14)*PI()</f>
        <v>43.9822971502571</v>
      </c>
      <c r="G14" s="1" t="n">
        <v>14</v>
      </c>
      <c r="H14" s="1" t="n">
        <f aca="false">SUM(B14:B$46)</f>
        <v>22</v>
      </c>
      <c r="I14" s="1" t="n">
        <f aca="false">SUM(C14:C$46)</f>
        <v>1.14621007966224</v>
      </c>
      <c r="J14" s="1" t="n">
        <v>35.8190649894449</v>
      </c>
      <c r="K14" s="1" t="n">
        <f aca="false">ROUND(J14/J$3,2)</f>
        <v>0.62</v>
      </c>
      <c r="L14" s="1" t="n">
        <v>687.5</v>
      </c>
      <c r="M14" s="1" t="n">
        <f aca="false">ROUND(L14/L$3,2)</f>
        <v>0.07</v>
      </c>
    </row>
    <row r="15" customFormat="false" ht="14.25" hidden="false" customHeight="false" outlineLevel="0" collapsed="false">
      <c r="A15" s="1" t="n">
        <v>15</v>
      </c>
      <c r="B15" s="1" t="n">
        <v>2</v>
      </c>
      <c r="C15" s="1" t="n">
        <f aca="false">B15*PI()*((A15/100)^2)/4</f>
        <v>0.0353429173528852</v>
      </c>
      <c r="F15" s="1" t="n">
        <f aca="false">(G15)*PI()</f>
        <v>47.1238898038469</v>
      </c>
      <c r="G15" s="1" t="n">
        <v>15</v>
      </c>
      <c r="H15" s="1" t="n">
        <f aca="false">SUM(B15:B$46)</f>
        <v>19</v>
      </c>
      <c r="I15" s="1" t="n">
        <f aca="false">SUM(C15:C$46)</f>
        <v>1.10002866765447</v>
      </c>
      <c r="J15" s="1" t="n">
        <v>34.3758958642021</v>
      </c>
      <c r="K15" s="1" t="n">
        <f aca="false">ROUND(J15/J$3,2)</f>
        <v>0.59</v>
      </c>
      <c r="L15" s="1" t="n">
        <v>593.75</v>
      </c>
      <c r="M15" s="1" t="n">
        <f aca="false">ROUND(L15/L$3,2)</f>
        <v>0.06</v>
      </c>
    </row>
    <row r="16" customFormat="false" ht="14.25" hidden="false" customHeight="false" outlineLevel="0" collapsed="false">
      <c r="A16" s="1" t="n">
        <v>16</v>
      </c>
      <c r="B16" s="1" t="n">
        <v>1</v>
      </c>
      <c r="C16" s="1" t="n">
        <f aca="false">B16*PI()*((A16/100)^2)/4</f>
        <v>0.0201061929829747</v>
      </c>
    </row>
    <row r="17" customFormat="false" ht="14.25" hidden="false" customHeight="false" outlineLevel="0" collapsed="false">
      <c r="A17" s="1" t="n">
        <v>17</v>
      </c>
      <c r="B17" s="1" t="n">
        <v>2</v>
      </c>
      <c r="C17" s="1" t="n">
        <f aca="false">B17*PI()*((A17/100)^2)/4</f>
        <v>0.0453960138443725</v>
      </c>
    </row>
    <row r="18" customFormat="false" ht="14.25" hidden="false" customHeight="false" outlineLevel="0" collapsed="false">
      <c r="A18" s="1" t="n">
        <v>18</v>
      </c>
      <c r="C18" s="1" t="n">
        <f aca="false">B18*PI()*((A18/100)^2)/4</f>
        <v>0</v>
      </c>
    </row>
    <row r="19" customFormat="false" ht="14.25" hidden="false" customHeight="false" outlineLevel="0" collapsed="false">
      <c r="A19" s="1" t="n">
        <v>19</v>
      </c>
      <c r="B19" s="1" t="n">
        <v>2</v>
      </c>
      <c r="C19" s="1" t="n">
        <f aca="false">B19*PI()*((A19/100)^2)/4</f>
        <v>0.0567057473972958</v>
      </c>
    </row>
    <row r="20" customFormat="false" ht="14.25" hidden="false" customHeight="false" outlineLevel="0" collapsed="false">
      <c r="A20" s="1" t="n">
        <v>20</v>
      </c>
      <c r="B20" s="1" t="n">
        <v>1</v>
      </c>
      <c r="C20" s="1" t="n">
        <f aca="false">B20*PI()*((A20/100)^2)/4</f>
        <v>0.0314159265358979</v>
      </c>
    </row>
    <row r="21" customFormat="false" ht="14.25" hidden="false" customHeight="false" outlineLevel="0" collapsed="false">
      <c r="A21" s="1" t="n">
        <v>21</v>
      </c>
      <c r="B21" s="1" t="n">
        <v>1</v>
      </c>
      <c r="C21" s="1" t="n">
        <f aca="false">B21*PI()*((A21/100)^2)/4</f>
        <v>0.0346360590058275</v>
      </c>
    </row>
    <row r="22" customFormat="false" ht="14.25" hidden="false" customHeight="false" outlineLevel="0" collapsed="false">
      <c r="A22" s="1" t="n">
        <v>22</v>
      </c>
      <c r="C22" s="1" t="n">
        <f aca="false">B22*PI()*((A22/100)^2)/4</f>
        <v>0</v>
      </c>
    </row>
    <row r="23" customFormat="false" ht="14.25" hidden="false" customHeight="false" outlineLevel="0" collapsed="false">
      <c r="A23" s="1" t="n">
        <v>23</v>
      </c>
      <c r="B23" s="1" t="n">
        <v>1</v>
      </c>
      <c r="C23" s="1" t="n">
        <f aca="false">B23*PI()*((A23/100)^2)/4</f>
        <v>0.041547562843725</v>
      </c>
    </row>
    <row r="24" customFormat="false" ht="14.25" hidden="false" customHeight="false" outlineLevel="0" collapsed="false">
      <c r="A24" s="1" t="n">
        <v>24</v>
      </c>
      <c r="C24" s="1" t="n">
        <f aca="false">B24*PI()*((A24/100)^2)/4</f>
        <v>0</v>
      </c>
    </row>
    <row r="25" customFormat="false" ht="14.25" hidden="false" customHeight="false" outlineLevel="0" collapsed="false">
      <c r="A25" s="1" t="n">
        <v>25</v>
      </c>
      <c r="B25" s="1" t="n">
        <v>1</v>
      </c>
      <c r="C25" s="1" t="n">
        <f aca="false">B25*PI()*((A25/100)^2)/4</f>
        <v>0.0490873852123405</v>
      </c>
    </row>
    <row r="26" customFormat="false" ht="14.25" hidden="false" customHeight="false" outlineLevel="0" collapsed="false">
      <c r="A26" s="1" t="n">
        <v>26</v>
      </c>
      <c r="B26" s="1" t="n">
        <v>1</v>
      </c>
      <c r="C26" s="1" t="n">
        <f aca="false">B26*PI()*((A26/100)^2)/4</f>
        <v>0.0530929158456675</v>
      </c>
    </row>
    <row r="27" customFormat="false" ht="14.25" hidden="false" customHeight="false" outlineLevel="0" collapsed="false">
      <c r="A27" s="1" t="n">
        <v>27</v>
      </c>
      <c r="C27" s="1" t="n">
        <f aca="false">B27*PI()*((A27/100)^2)/4</f>
        <v>0</v>
      </c>
    </row>
    <row r="28" customFormat="false" ht="14.25" hidden="false" customHeight="false" outlineLevel="0" collapsed="false">
      <c r="A28" s="1" t="n">
        <v>28</v>
      </c>
      <c r="C28" s="1" t="n">
        <f aca="false">B28*PI()*((A28/100)^2)/4</f>
        <v>0</v>
      </c>
    </row>
    <row r="29" customFormat="false" ht="14.25" hidden="false" customHeight="false" outlineLevel="0" collapsed="false">
      <c r="A29" s="1" t="n">
        <v>29</v>
      </c>
      <c r="C29" s="1" t="n">
        <f aca="false">B29*PI()*((A29/100)^2)/4</f>
        <v>0</v>
      </c>
    </row>
    <row r="30" customFormat="false" ht="14.25" hidden="false" customHeight="false" outlineLevel="0" collapsed="false">
      <c r="A30" s="1" t="n">
        <v>30</v>
      </c>
      <c r="B30" s="1" t="n">
        <v>1</v>
      </c>
      <c r="C30" s="1" t="n">
        <f aca="false">B30*PI()*((A30/100)^2)/4</f>
        <v>0.0706858347057704</v>
      </c>
    </row>
    <row r="31" customFormat="false" ht="14.25" hidden="false" customHeight="false" outlineLevel="0" collapsed="false">
      <c r="A31" s="1" t="n">
        <v>31</v>
      </c>
      <c r="C31" s="1" t="n">
        <f aca="false">B31*PI()*((A31/100)^2)/4</f>
        <v>0</v>
      </c>
    </row>
    <row r="32" customFormat="false" ht="14.25" hidden="false" customHeight="false" outlineLevel="0" collapsed="false">
      <c r="A32" s="1" t="n">
        <v>32</v>
      </c>
      <c r="B32" s="1" t="n">
        <v>2</v>
      </c>
      <c r="C32" s="1" t="n">
        <f aca="false">B32*PI()*((A32/100)^2)/4</f>
        <v>0.160849543863797</v>
      </c>
    </row>
    <row r="33" customFormat="false" ht="14.25" hidden="false" customHeight="false" outlineLevel="0" collapsed="false">
      <c r="A33" s="1" t="n">
        <v>33</v>
      </c>
      <c r="C33" s="1" t="n">
        <f aca="false">B33*PI()*((A33/100)^2)/4</f>
        <v>0</v>
      </c>
    </row>
    <row r="34" customFormat="false" ht="14.25" hidden="false" customHeight="false" outlineLevel="0" collapsed="false">
      <c r="A34" s="1" t="n">
        <v>34</v>
      </c>
      <c r="C34" s="1" t="n">
        <f aca="false">B34*PI()*((A34/100)^2)/4</f>
        <v>0</v>
      </c>
    </row>
    <row r="35" customFormat="false" ht="14.25" hidden="false" customHeight="false" outlineLevel="0" collapsed="false">
      <c r="A35" s="1" t="n">
        <v>35</v>
      </c>
      <c r="C35" s="1" t="n">
        <f aca="false">B35*PI()*((A35/100)^2)/4</f>
        <v>0</v>
      </c>
    </row>
    <row r="36" customFormat="false" ht="14.25" hidden="false" customHeight="false" outlineLevel="0" collapsed="false">
      <c r="A36" s="1" t="n">
        <v>36</v>
      </c>
      <c r="B36" s="1" t="n">
        <v>1</v>
      </c>
      <c r="C36" s="1" t="n">
        <f aca="false">B36*PI()*((A36/100)^2)/4</f>
        <v>0.101787601976309</v>
      </c>
    </row>
    <row r="37" customFormat="false" ht="14.25" hidden="false" customHeight="false" outlineLevel="0" collapsed="false">
      <c r="A37" s="1" t="n">
        <v>37</v>
      </c>
      <c r="B37" s="1" t="n">
        <v>1</v>
      </c>
      <c r="C37" s="1" t="n">
        <f aca="false">B37*PI()*((A37/100)^2)/4</f>
        <v>0.107521008569111</v>
      </c>
    </row>
    <row r="38" customFormat="false" ht="14.25" hidden="false" customHeight="false" outlineLevel="0" collapsed="false">
      <c r="A38" s="1" t="n">
        <v>38</v>
      </c>
      <c r="C38" s="1" t="n">
        <f aca="false">B38*PI()*((A38/100)^2)/4</f>
        <v>0</v>
      </c>
    </row>
    <row r="39" customFormat="false" ht="14.25" hidden="false" customHeight="false" outlineLevel="0" collapsed="false">
      <c r="A39" s="1" t="n">
        <v>39</v>
      </c>
      <c r="C39" s="1" t="n">
        <f aca="false">B39*PI()*((A39/100)^2)/4</f>
        <v>0</v>
      </c>
    </row>
    <row r="40" customFormat="false" ht="14.25" hidden="false" customHeight="false" outlineLevel="0" collapsed="false">
      <c r="A40" s="1" t="n">
        <v>40</v>
      </c>
      <c r="B40" s="1" t="n">
        <v>1</v>
      </c>
      <c r="C40" s="1" t="n">
        <f aca="false">B40*PI()*((A40/100)^2)/4</f>
        <v>0.125663706143592</v>
      </c>
    </row>
    <row r="41" customFormat="false" ht="14.25" hidden="false" customHeight="false" outlineLevel="0" collapsed="false">
      <c r="A41" s="1" t="n">
        <v>41</v>
      </c>
      <c r="C41" s="1" t="n">
        <f aca="false">B41*PI()*((A41/100)^2)/4</f>
        <v>0</v>
      </c>
    </row>
    <row r="42" customFormat="false" ht="14.25" hidden="false" customHeight="false" outlineLevel="0" collapsed="false">
      <c r="A42" s="1" t="n">
        <v>42</v>
      </c>
      <c r="C42" s="1" t="n">
        <f aca="false">B42*PI()*((A42/100)^2)/4</f>
        <v>0</v>
      </c>
    </row>
    <row r="43" customFormat="false" ht="14.25" hidden="false" customHeight="false" outlineLevel="0" collapsed="false">
      <c r="A43" s="1" t="n">
        <v>43</v>
      </c>
      <c r="C43" s="1" t="n">
        <f aca="false">B43*PI()*((A43/100)^2)/4</f>
        <v>0</v>
      </c>
    </row>
    <row r="44" customFormat="false" ht="14.25" hidden="false" customHeight="false" outlineLevel="0" collapsed="false">
      <c r="A44" s="1" t="n">
        <v>44</v>
      </c>
      <c r="C44" s="1" t="n">
        <f aca="false">B44*PI()*((A44/100)^2)/4</f>
        <v>0</v>
      </c>
    </row>
    <row r="45" customFormat="false" ht="14.25" hidden="false" customHeight="false" outlineLevel="0" collapsed="false">
      <c r="A45" s="1" t="n">
        <v>45</v>
      </c>
      <c r="C45" s="1" t="n">
        <f aca="false">B45*PI()*((A45/100)^2)/4</f>
        <v>0</v>
      </c>
    </row>
    <row r="46" customFormat="false" ht="14.25" hidden="false" customHeight="false" outlineLevel="0" collapsed="false">
      <c r="A46" s="1" t="n">
        <v>46</v>
      </c>
      <c r="B46" s="1" t="n">
        <v>1</v>
      </c>
      <c r="C46" s="1" t="n">
        <f aca="false">B46*PI()*((A46/100)^2)/4</f>
        <v>0.1661902513749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S126"/>
  <sheetViews>
    <sheetView showFormulas="false" showGridLines="true" showRowColHeaders="true" showZeros="true" rightToLeft="false" tabSelected="false" showOutlineSymbols="true" defaultGridColor="true" view="normal" topLeftCell="E10" colorId="64" zoomScale="80" zoomScaleNormal="80" zoomScalePageLayoutView="100" workbookViewId="0">
      <selection pane="topLeft" activeCell="E50" activeCellId="0" sqref="E50"/>
    </sheetView>
  </sheetViews>
  <sheetFormatPr defaultColWidth="8.4765625" defaultRowHeight="14.25" customHeight="false" zeroHeight="false" outlineLevelRow="0" outlineLevelCol="0"/>
  <cols>
    <col collapsed="false" customWidth="true" hidden="false" outlineLevel="0" max="5" min="5" style="1" width="15.33"/>
    <col collapsed="false" customWidth="true" hidden="false" outlineLevel="0" max="6" min="6" style="1" width="19.45"/>
    <col collapsed="false" customWidth="true" hidden="false" outlineLevel="0" max="8" min="8" style="1" width="12.22"/>
    <col collapsed="false" customWidth="true" hidden="false" outlineLevel="0" max="9" min="9" style="1" width="15"/>
    <col collapsed="false" customWidth="true" hidden="false" outlineLevel="0" max="16" min="16" style="1" width="13.78"/>
  </cols>
  <sheetData>
    <row r="3" customFormat="false" ht="14.25" hidden="false" customHeight="false" outlineLevel="0" collapsed="false">
      <c r="B3" s="1" t="s">
        <v>11</v>
      </c>
      <c r="C3" s="1" t="s">
        <v>12</v>
      </c>
      <c r="E3" s="1" t="s">
        <v>13</v>
      </c>
      <c r="F3" s="1" t="s">
        <v>14</v>
      </c>
      <c r="G3" s="1" t="s">
        <v>6</v>
      </c>
      <c r="H3" s="1" t="s">
        <v>15</v>
      </c>
      <c r="J3" s="1" t="s">
        <v>16</v>
      </c>
      <c r="O3" s="1" t="s">
        <v>11</v>
      </c>
      <c r="P3" s="1" t="s">
        <v>16</v>
      </c>
      <c r="Q3" s="1" t="s">
        <v>14</v>
      </c>
      <c r="R3" s="1" t="s">
        <v>17</v>
      </c>
    </row>
    <row r="4" customFormat="false" ht="14.25" hidden="false" customHeight="false" outlineLevel="0" collapsed="false">
      <c r="B4" s="3" t="n">
        <v>6</v>
      </c>
      <c r="C4" s="1" t="n">
        <v>1</v>
      </c>
      <c r="D4" s="1" t="n">
        <f aca="false">SUM(C$4:C4)</f>
        <v>1</v>
      </c>
      <c r="E4" s="1" t="n">
        <f aca="false">D4/C$126*100</f>
        <v>0.0630517023959647</v>
      </c>
      <c r="F4" s="1" t="n">
        <f aca="false">100-E4</f>
        <v>99.936948297604</v>
      </c>
      <c r="G4" s="1" t="n">
        <f aca="false">C4*PI()*((B4/PI()/100)^2)/4</f>
        <v>0.000286478897565412</v>
      </c>
      <c r="H4" s="1" t="n">
        <f aca="false">G4/G$126*100</f>
        <v>0.00189970055969928</v>
      </c>
      <c r="I4" s="1" t="n">
        <f aca="false">SUM(H$4:H4)</f>
        <v>0.00189970055969928</v>
      </c>
      <c r="J4" s="1" t="n">
        <f aca="false">100-I4</f>
        <v>99.9981002994403</v>
      </c>
      <c r="O4" s="3" t="n">
        <v>6</v>
      </c>
      <c r="P4" s="1" t="n">
        <v>99.9981002994403</v>
      </c>
      <c r="Q4" s="1" t="n">
        <v>99.936948297604</v>
      </c>
      <c r="R4" s="1" t="n">
        <f aca="false">2*O4/PI()</f>
        <v>3.81971863420549</v>
      </c>
    </row>
    <row r="5" customFormat="false" ht="14.25" hidden="false" customHeight="false" outlineLevel="0" collapsed="false">
      <c r="B5" s="3" t="n">
        <v>7</v>
      </c>
      <c r="C5" s="1" t="n">
        <v>10</v>
      </c>
      <c r="D5" s="1" t="n">
        <f aca="false">SUM(C$4:C5)</f>
        <v>11</v>
      </c>
      <c r="E5" s="1" t="n">
        <f aca="false">D5/C$126*100</f>
        <v>0.693568726355612</v>
      </c>
      <c r="F5" s="1" t="n">
        <f aca="false">100-E5</f>
        <v>99.3064312736444</v>
      </c>
      <c r="G5" s="1" t="n">
        <f aca="false">C5*PI()*((B5/PI()/100)^2)/4</f>
        <v>0.00389929610575144</v>
      </c>
      <c r="H5" s="1" t="n">
        <f aca="false">G5/G$126*100</f>
        <v>0.0258570353959068</v>
      </c>
      <c r="I5" s="1" t="n">
        <f aca="false">SUM(H$4:H5)</f>
        <v>0.0277567359556061</v>
      </c>
      <c r="J5" s="1" t="n">
        <f aca="false">100-I5</f>
        <v>99.9722432640444</v>
      </c>
      <c r="O5" s="3" t="n">
        <v>7</v>
      </c>
      <c r="P5" s="1" t="n">
        <v>99.9722432640444</v>
      </c>
      <c r="Q5" s="1" t="n">
        <v>99.3064312736444</v>
      </c>
      <c r="R5" s="1" t="n">
        <f aca="false">2*O5/PI()</f>
        <v>4.45633840657307</v>
      </c>
    </row>
    <row r="6" customFormat="false" ht="14.25" hidden="false" customHeight="false" outlineLevel="0" collapsed="false">
      <c r="B6" s="3" t="n">
        <v>8</v>
      </c>
      <c r="C6" s="1" t="n">
        <v>295</v>
      </c>
      <c r="D6" s="1" t="n">
        <f aca="false">SUM(C$4:C6)</f>
        <v>306</v>
      </c>
      <c r="E6" s="1" t="n">
        <f aca="false">D6/C$126*100</f>
        <v>19.2938209331652</v>
      </c>
      <c r="F6" s="1" t="n">
        <f aca="false">100-E6</f>
        <v>80.7061790668348</v>
      </c>
      <c r="G6" s="1" t="n">
        <f aca="false">C6*PI()*((B6/PI()/100)^2)/4</f>
        <v>0.150242266278749</v>
      </c>
      <c r="H6" s="1" t="n">
        <f aca="false">G6/G$126*100</f>
        <v>0.996287404642288</v>
      </c>
      <c r="I6" s="1" t="n">
        <f aca="false">SUM(H$4:H6)</f>
        <v>1.02404414059789</v>
      </c>
      <c r="J6" s="1" t="n">
        <f aca="false">100-I6</f>
        <v>98.9759558594021</v>
      </c>
      <c r="O6" s="4" t="n">
        <v>8</v>
      </c>
      <c r="P6" s="5" t="n">
        <v>98.9759558594021</v>
      </c>
      <c r="Q6" s="5" t="n">
        <v>80.7061790668348</v>
      </c>
      <c r="R6" s="5" t="n">
        <f aca="false">2*O6/PI()</f>
        <v>5.09295817894065</v>
      </c>
      <c r="S6" s="6" t="n">
        <v>5</v>
      </c>
    </row>
    <row r="7" customFormat="false" ht="14.25" hidden="false" customHeight="false" outlineLevel="0" collapsed="false">
      <c r="B7" s="3" t="n">
        <v>8.5</v>
      </c>
      <c r="C7" s="1" t="n">
        <v>9</v>
      </c>
      <c r="D7" s="1" t="n">
        <f aca="false">SUM(C$4:C7)</f>
        <v>315</v>
      </c>
      <c r="E7" s="1" t="n">
        <f aca="false">D7/C$126*100</f>
        <v>19.8612862547289</v>
      </c>
      <c r="F7" s="1" t="n">
        <f aca="false">100-E7</f>
        <v>80.1387137452711</v>
      </c>
      <c r="G7" s="1" t="n">
        <f aca="false">C7*PI()*((B7/PI()/100)^2)/4</f>
        <v>0.00517452508727525</v>
      </c>
      <c r="H7" s="1" t="n">
        <f aca="false">G7/G$126*100</f>
        <v>0.0343133413595682</v>
      </c>
      <c r="I7" s="1" t="n">
        <f aca="false">SUM(H$4:H7)</f>
        <v>1.05835748195746</v>
      </c>
      <c r="J7" s="1" t="n">
        <f aca="false">100-I7</f>
        <v>98.9416425180425</v>
      </c>
      <c r="O7" s="3" t="n">
        <v>8.5</v>
      </c>
      <c r="P7" s="1" t="n">
        <v>98.9416425180425</v>
      </c>
      <c r="Q7" s="1" t="n">
        <v>80.1387137452711</v>
      </c>
      <c r="R7" s="1" t="n">
        <f aca="false">2*O7/PI()</f>
        <v>5.41126806512444</v>
      </c>
    </row>
    <row r="8" customFormat="false" ht="14.25" hidden="false" customHeight="false" outlineLevel="0" collapsed="false">
      <c r="B8" s="3" t="n">
        <v>9</v>
      </c>
      <c r="C8" s="1" t="n">
        <v>99</v>
      </c>
      <c r="D8" s="1" t="n">
        <f aca="false">SUM(C$4:C8)</f>
        <v>414</v>
      </c>
      <c r="E8" s="1" t="n">
        <f aca="false">D8/C$126*100</f>
        <v>26.1034047919294</v>
      </c>
      <c r="F8" s="1" t="n">
        <f aca="false">100-E8</f>
        <v>73.8965952080706</v>
      </c>
      <c r="G8" s="1" t="n">
        <f aca="false">C8*PI()*((B8/PI()/100)^2)/4</f>
        <v>0.0638131744326954</v>
      </c>
      <c r="H8" s="1" t="n">
        <f aca="false">G8/G$126*100</f>
        <v>0.423158299673014</v>
      </c>
      <c r="I8" s="1" t="n">
        <f aca="false">SUM(H$4:H8)</f>
        <v>1.48151578163048</v>
      </c>
      <c r="J8" s="1" t="n">
        <f aca="false">100-I8</f>
        <v>98.5184842183695</v>
      </c>
      <c r="O8" s="3" t="n">
        <v>9</v>
      </c>
      <c r="P8" s="1" t="n">
        <v>98.5184842183695</v>
      </c>
      <c r="Q8" s="1" t="n">
        <v>73.8965952080706</v>
      </c>
      <c r="R8" s="1" t="n">
        <f aca="false">2*O8/PI()</f>
        <v>5.72957795130823</v>
      </c>
    </row>
    <row r="9" customFormat="false" ht="14.25" hidden="false" customHeight="false" outlineLevel="0" collapsed="false">
      <c r="B9" s="3" t="n">
        <v>9.5</v>
      </c>
      <c r="C9" s="1" t="n">
        <v>1</v>
      </c>
      <c r="D9" s="1" t="n">
        <f aca="false">SUM(C$4:C9)</f>
        <v>415</v>
      </c>
      <c r="E9" s="1" t="n">
        <f aca="false">D9/C$126*100</f>
        <v>26.1664564943253</v>
      </c>
      <c r="F9" s="1" t="n">
        <f aca="false">100-E9</f>
        <v>73.8335435056747</v>
      </c>
      <c r="G9" s="1" t="n">
        <f aca="false">C9*PI()*((B9/PI()/100)^2)/4</f>
        <v>0.000718186680702178</v>
      </c>
      <c r="H9" s="1" t="n">
        <f aca="false">G9/G$126*100</f>
        <v>0.00476244376424611</v>
      </c>
      <c r="I9" s="1" t="n">
        <f aca="false">SUM(H$4:H9)</f>
        <v>1.48627822539472</v>
      </c>
      <c r="J9" s="1" t="n">
        <f aca="false">100-I9</f>
        <v>98.5137217746053</v>
      </c>
      <c r="O9" s="3" t="n">
        <v>9.5</v>
      </c>
      <c r="P9" s="1" t="n">
        <v>98.5137217746053</v>
      </c>
      <c r="Q9" s="1" t="n">
        <v>73.8335435056747</v>
      </c>
      <c r="R9" s="1" t="n">
        <f aca="false">2*O9/PI()</f>
        <v>6.04788783749202</v>
      </c>
    </row>
    <row r="10" customFormat="false" ht="14.25" hidden="false" customHeight="false" outlineLevel="0" collapsed="false">
      <c r="B10" s="3" t="n">
        <v>10</v>
      </c>
      <c r="C10" s="1" t="n">
        <v>173</v>
      </c>
      <c r="D10" s="1" t="n">
        <f aca="false">SUM(C$4:C10)</f>
        <v>588</v>
      </c>
      <c r="E10" s="1" t="n">
        <f aca="false">D10/C$126*100</f>
        <v>37.0744010088272</v>
      </c>
      <c r="F10" s="1" t="n">
        <f aca="false">100-E10</f>
        <v>62.9255989911728</v>
      </c>
      <c r="G10" s="1" t="n">
        <f aca="false">C10*PI()*((B10/PI()/100)^2)/4</f>
        <v>0.137669025774489</v>
      </c>
      <c r="H10" s="1" t="n">
        <f aca="false">G10/G$126*100</f>
        <v>0.912911657855486</v>
      </c>
      <c r="I10" s="1" t="n">
        <f aca="false">SUM(H$4:H10)</f>
        <v>2.39918988325021</v>
      </c>
      <c r="J10" s="1" t="n">
        <f aca="false">100-I10</f>
        <v>97.6008101167498</v>
      </c>
      <c r="O10" s="4" t="n">
        <v>10</v>
      </c>
      <c r="P10" s="5" t="n">
        <v>97.6008101167498</v>
      </c>
      <c r="Q10" s="5" t="n">
        <v>62.9255989911728</v>
      </c>
      <c r="R10" s="5" t="n">
        <f aca="false">2*O10/PI()</f>
        <v>6.36619772367581</v>
      </c>
    </row>
    <row r="11" customFormat="false" ht="14.25" hidden="false" customHeight="false" outlineLevel="0" collapsed="false">
      <c r="B11" s="3" t="n">
        <v>11</v>
      </c>
      <c r="C11" s="1" t="n">
        <v>76</v>
      </c>
      <c r="D11" s="1" t="n">
        <f aca="false">SUM(C$4:C11)</f>
        <v>664</v>
      </c>
      <c r="E11" s="1" t="n">
        <f aca="false">D11/C$126*100</f>
        <v>41.8663303909206</v>
      </c>
      <c r="F11" s="1" t="n">
        <f aca="false">100-E11</f>
        <v>58.1336696090795</v>
      </c>
      <c r="G11" s="1" t="n">
        <f aca="false">C11*PI()*((B11/PI()/100)^2)/4</f>
        <v>0.0731794428336535</v>
      </c>
      <c r="H11" s="1" t="n">
        <f aca="false">G11/G$126*100</f>
        <v>0.485267954083182</v>
      </c>
      <c r="I11" s="1" t="n">
        <f aca="false">SUM(H$4:H11)</f>
        <v>2.88445783733339</v>
      </c>
      <c r="J11" s="1" t="n">
        <f aca="false">100-I11</f>
        <v>97.1155421626666</v>
      </c>
      <c r="O11" s="3" t="n">
        <v>11</v>
      </c>
      <c r="P11" s="1" t="n">
        <v>97.1155421626666</v>
      </c>
      <c r="Q11" s="1" t="n">
        <v>58.1336696090795</v>
      </c>
      <c r="R11" s="1" t="n">
        <f aca="false">2*O11/PI()</f>
        <v>7.0028174960434</v>
      </c>
    </row>
    <row r="12" customFormat="false" ht="14.25" hidden="false" customHeight="false" outlineLevel="0" collapsed="false">
      <c r="B12" s="3" t="n">
        <v>12</v>
      </c>
      <c r="C12" s="1" t="n">
        <v>82</v>
      </c>
      <c r="D12" s="1" t="n">
        <f aca="false">SUM(C$4:C12)</f>
        <v>746</v>
      </c>
      <c r="E12" s="1" t="n">
        <f aca="false">D12/C$126*100</f>
        <v>47.0365699873897</v>
      </c>
      <c r="F12" s="1" t="n">
        <f aca="false">100-E12</f>
        <v>52.9634300126103</v>
      </c>
      <c r="G12" s="1" t="n">
        <f aca="false">C12*PI()*((B12/PI()/100)^2)/4</f>
        <v>0.093965078401455</v>
      </c>
      <c r="H12" s="1" t="n">
        <f aca="false">G12/G$126*100</f>
        <v>0.623101783581363</v>
      </c>
      <c r="I12" s="1" t="n">
        <f aca="false">SUM(H$4:H12)</f>
        <v>3.50755962091475</v>
      </c>
      <c r="J12" s="1" t="n">
        <f aca="false">100-I12</f>
        <v>96.4924403790853</v>
      </c>
      <c r="O12" s="4" t="n">
        <v>12</v>
      </c>
      <c r="P12" s="5" t="n">
        <v>96.4924403790853</v>
      </c>
      <c r="Q12" s="5" t="n">
        <v>52.9634300126103</v>
      </c>
      <c r="R12" s="5" t="n">
        <f aca="false">2*O12/PI()</f>
        <v>7.63943726841098</v>
      </c>
      <c r="S12" s="6" t="n">
        <v>7.5</v>
      </c>
    </row>
    <row r="13" customFormat="false" ht="14.25" hidden="false" customHeight="false" outlineLevel="0" collapsed="false">
      <c r="B13" s="3" t="n">
        <v>13</v>
      </c>
      <c r="C13" s="1" t="n">
        <v>93</v>
      </c>
      <c r="D13" s="1" t="n">
        <f aca="false">SUM(C$4:C13)</f>
        <v>839</v>
      </c>
      <c r="E13" s="1" t="n">
        <f aca="false">D13/C$126*100</f>
        <v>52.9003783102144</v>
      </c>
      <c r="F13" s="1" t="n">
        <f aca="false">100-E13</f>
        <v>47.0996216897856</v>
      </c>
      <c r="G13" s="1" t="n">
        <f aca="false">C13*PI()*((B13/PI()/100)^2)/4</f>
        <v>0.125071912028766</v>
      </c>
      <c r="H13" s="1" t="n">
        <f aca="false">G13/G$126*100</f>
        <v>0.829377602688709</v>
      </c>
      <c r="I13" s="1" t="n">
        <f aca="false">SUM(H$4:H13)</f>
        <v>4.33693722360346</v>
      </c>
      <c r="J13" s="1" t="n">
        <f aca="false">100-I13</f>
        <v>95.6630627763965</v>
      </c>
      <c r="O13" s="3" t="n">
        <v>13</v>
      </c>
      <c r="P13" s="1" t="n">
        <v>95.6630627763965</v>
      </c>
      <c r="Q13" s="1" t="n">
        <v>47.0996216897856</v>
      </c>
      <c r="R13" s="1" t="n">
        <f aca="false">2*O13/PI()</f>
        <v>8.27605704077856</v>
      </c>
    </row>
    <row r="14" customFormat="false" ht="14.25" hidden="false" customHeight="false" outlineLevel="0" collapsed="false">
      <c r="B14" s="3" t="n">
        <v>14</v>
      </c>
      <c r="C14" s="1" t="n">
        <v>68</v>
      </c>
      <c r="D14" s="1" t="n">
        <f aca="false">SUM(C$4:C14)</f>
        <v>907</v>
      </c>
      <c r="E14" s="1" t="n">
        <f aca="false">D14/C$126*100</f>
        <v>57.18789407314</v>
      </c>
      <c r="F14" s="1" t="n">
        <f aca="false">100-E14</f>
        <v>42.81210592686</v>
      </c>
      <c r="G14" s="1" t="n">
        <f aca="false">C14*PI()*((B14/PI()/100)^2)/4</f>
        <v>0.106060854076439</v>
      </c>
      <c r="H14" s="1" t="n">
        <f aca="false">G14/G$126*100</f>
        <v>0.703311362768666</v>
      </c>
      <c r="I14" s="1" t="n">
        <f aca="false">SUM(H$4:H14)</f>
        <v>5.04024858637213</v>
      </c>
      <c r="J14" s="1" t="n">
        <f aca="false">100-I14</f>
        <v>94.9597514136279</v>
      </c>
      <c r="O14" s="3" t="n">
        <v>14</v>
      </c>
      <c r="P14" s="1" t="n">
        <v>94.9597514136279</v>
      </c>
      <c r="Q14" s="1" t="n">
        <v>42.81210592686</v>
      </c>
      <c r="R14" s="1" t="n">
        <f aca="false">2*O14/PI()</f>
        <v>8.91267681314614</v>
      </c>
    </row>
    <row r="15" customFormat="false" ht="14.25" hidden="false" customHeight="false" outlineLevel="0" collapsed="false">
      <c r="B15" s="3" t="n">
        <v>15</v>
      </c>
      <c r="C15" s="1" t="n">
        <v>69</v>
      </c>
      <c r="D15" s="1" t="n">
        <f aca="false">SUM(C$4:C15)</f>
        <v>976</v>
      </c>
      <c r="E15" s="1" t="n">
        <f aca="false">D15/C$126*100</f>
        <v>61.5384615384615</v>
      </c>
      <c r="F15" s="1" t="n">
        <f aca="false">100-E15</f>
        <v>38.4615384615385</v>
      </c>
      <c r="G15" s="1" t="n">
        <f aca="false">C15*PI()*((B15/PI()/100)^2)/4</f>
        <v>0.123544024575084</v>
      </c>
      <c r="H15" s="1" t="n">
        <f aca="false">G15/G$126*100</f>
        <v>0.819245866370314</v>
      </c>
      <c r="I15" s="1" t="n">
        <f aca="false">SUM(H$4:H15)</f>
        <v>5.85949445274244</v>
      </c>
      <c r="J15" s="1" t="n">
        <f aca="false">100-I15</f>
        <v>94.1405055472576</v>
      </c>
      <c r="O15" s="3" t="n">
        <v>15</v>
      </c>
      <c r="P15" s="1" t="n">
        <v>94.1405055472576</v>
      </c>
      <c r="Q15" s="1" t="n">
        <v>38.4615384615385</v>
      </c>
      <c r="R15" s="1" t="n">
        <f aca="false">2*O15/PI()</f>
        <v>9.54929658551372</v>
      </c>
    </row>
    <row r="16" customFormat="false" ht="14.25" hidden="false" customHeight="false" outlineLevel="0" collapsed="false">
      <c r="B16" s="3" t="n">
        <v>16</v>
      </c>
      <c r="C16" s="1" t="n">
        <v>46</v>
      </c>
      <c r="D16" s="1" t="n">
        <f aca="false">SUM(C$4:C16)</f>
        <v>1022</v>
      </c>
      <c r="E16" s="1" t="n">
        <f aca="false">D16/C$126*100</f>
        <v>64.4388398486759</v>
      </c>
      <c r="F16" s="1" t="n">
        <f aca="false">100-E16</f>
        <v>35.5611601513241</v>
      </c>
      <c r="G16" s="1" t="n">
        <f aca="false">C16*PI()*((B16/PI()/100)^2)/4</f>
        <v>0.093710430492508</v>
      </c>
      <c r="H16" s="1" t="n">
        <f aca="false">G16/G$126*100</f>
        <v>0.621413160861631</v>
      </c>
      <c r="I16" s="1" t="n">
        <f aca="false">SUM(H$4:H16)</f>
        <v>6.48090761360407</v>
      </c>
      <c r="J16" s="1" t="n">
        <f aca="false">100-I16</f>
        <v>93.5190923863959</v>
      </c>
      <c r="O16" s="3" t="n">
        <v>16</v>
      </c>
      <c r="P16" s="1" t="n">
        <v>93.5190923863959</v>
      </c>
      <c r="Q16" s="1" t="n">
        <v>35.5611601513241</v>
      </c>
      <c r="R16" s="1" t="n">
        <f aca="false">2*O16/PI()</f>
        <v>10.1859163578813</v>
      </c>
    </row>
    <row r="17" customFormat="false" ht="14.25" hidden="false" customHeight="false" outlineLevel="0" collapsed="false">
      <c r="B17" s="3" t="n">
        <v>17</v>
      </c>
      <c r="C17" s="1" t="n">
        <v>52</v>
      </c>
      <c r="D17" s="1" t="n">
        <f aca="false">SUM(C$4:C17)</f>
        <v>1074</v>
      </c>
      <c r="E17" s="1" t="n">
        <f aca="false">D17/C$126*100</f>
        <v>67.7175283732661</v>
      </c>
      <c r="F17" s="1" t="n">
        <f aca="false">100-E17</f>
        <v>32.2824716267339</v>
      </c>
      <c r="G17" s="1" t="n">
        <f aca="false">C17*PI()*((B17/PI()/100)^2)/4</f>
        <v>0.11958902423925</v>
      </c>
      <c r="H17" s="1" t="n">
        <f aca="false">G17/G$126*100</f>
        <v>0.793019444754465</v>
      </c>
      <c r="I17" s="1" t="n">
        <f aca="false">SUM(H$4:H17)</f>
        <v>7.27392705835854</v>
      </c>
      <c r="J17" s="1" t="n">
        <f aca="false">100-I17</f>
        <v>92.7260729416415</v>
      </c>
      <c r="O17" s="3" t="n">
        <v>17</v>
      </c>
      <c r="P17" s="1" t="n">
        <v>92.7260729416415</v>
      </c>
      <c r="Q17" s="1" t="n">
        <v>32.2824716267339</v>
      </c>
      <c r="R17" s="1" t="n">
        <f aca="false">2*O17/PI()</f>
        <v>10.8225361302489</v>
      </c>
    </row>
    <row r="18" customFormat="false" ht="14.25" hidden="false" customHeight="false" outlineLevel="0" collapsed="false">
      <c r="B18" s="3" t="n">
        <v>18</v>
      </c>
      <c r="C18" s="1" t="n">
        <v>39</v>
      </c>
      <c r="D18" s="1" t="n">
        <f aca="false">SUM(C$4:C18)</f>
        <v>1113</v>
      </c>
      <c r="E18" s="1" t="n">
        <f aca="false">D18/C$126*100</f>
        <v>70.1765447667087</v>
      </c>
      <c r="F18" s="1" t="n">
        <f aca="false">100-E18</f>
        <v>29.8234552332913</v>
      </c>
      <c r="G18" s="1" t="n">
        <f aca="false">C18*PI()*((B18/PI()/100)^2)/4</f>
        <v>0.100554093045459</v>
      </c>
      <c r="H18" s="1" t="n">
        <f aca="false">G18/G$126*100</f>
        <v>0.666794896454446</v>
      </c>
      <c r="I18" s="1" t="n">
        <f aca="false">SUM(H$4:H18)</f>
        <v>7.94072195481299</v>
      </c>
      <c r="J18" s="1" t="n">
        <f aca="false">100-I18</f>
        <v>92.059278045187</v>
      </c>
      <c r="O18" s="3" t="n">
        <v>18</v>
      </c>
      <c r="P18" s="1" t="n">
        <v>92.059278045187</v>
      </c>
      <c r="Q18" s="1" t="n">
        <v>29.8234552332913</v>
      </c>
      <c r="R18" s="1" t="n">
        <f aca="false">2*O18/PI()</f>
        <v>11.4591559026165</v>
      </c>
    </row>
    <row r="19" customFormat="false" ht="14.25" hidden="false" customHeight="false" outlineLevel="0" collapsed="false">
      <c r="B19" s="3" t="n">
        <v>19</v>
      </c>
      <c r="C19" s="1" t="n">
        <v>27</v>
      </c>
      <c r="D19" s="1" t="n">
        <f aca="false">SUM(C$4:C19)</f>
        <v>1140</v>
      </c>
      <c r="E19" s="1" t="n">
        <f aca="false">D19/C$126*100</f>
        <v>71.8789407313997</v>
      </c>
      <c r="F19" s="1" t="n">
        <f aca="false">100-E19</f>
        <v>28.1210592686003</v>
      </c>
      <c r="G19" s="1" t="n">
        <f aca="false">C19*PI()*((B19/PI()/100)^2)/4</f>
        <v>0.0775641615158352</v>
      </c>
      <c r="H19" s="1" t="n">
        <f aca="false">G19/G$126*100</f>
        <v>0.514343926538579</v>
      </c>
      <c r="I19" s="1" t="n">
        <f aca="false">SUM(H$4:H19)</f>
        <v>8.45506588135156</v>
      </c>
      <c r="J19" s="1" t="n">
        <f aca="false">100-I19</f>
        <v>91.5449341186484</v>
      </c>
      <c r="O19" s="3" t="n">
        <v>19</v>
      </c>
      <c r="P19" s="1" t="n">
        <v>91.5449341186484</v>
      </c>
      <c r="Q19" s="1" t="n">
        <v>28.1210592686003</v>
      </c>
      <c r="R19" s="1" t="n">
        <f aca="false">2*O19/PI()</f>
        <v>12.095775674984</v>
      </c>
    </row>
    <row r="20" customFormat="false" ht="14.25" hidden="false" customHeight="false" outlineLevel="0" collapsed="false">
      <c r="B20" s="3" t="n">
        <v>20</v>
      </c>
      <c r="C20" s="1" t="n">
        <v>41</v>
      </c>
      <c r="D20" s="1" t="n">
        <f aca="false">SUM(C$4:C20)</f>
        <v>1181</v>
      </c>
      <c r="E20" s="1" t="n">
        <f aca="false">D20/C$126*100</f>
        <v>74.4640605296343</v>
      </c>
      <c r="F20" s="1" t="n">
        <f aca="false">100-E20</f>
        <v>25.5359394703657</v>
      </c>
      <c r="G20" s="1" t="n">
        <f aca="false">C20*PI()*((B20/PI()/100)^2)/4</f>
        <v>0.130507053335354</v>
      </c>
      <c r="H20" s="1" t="n">
        <f aca="false">G20/G$126*100</f>
        <v>0.865419143863004</v>
      </c>
      <c r="I20" s="1" t="n">
        <f aca="false">SUM(H$4:H20)</f>
        <v>9.32048502521457</v>
      </c>
      <c r="J20" s="1" t="n">
        <f aca="false">100-I20</f>
        <v>90.6795149747854</v>
      </c>
      <c r="O20" s="4" t="n">
        <v>20</v>
      </c>
      <c r="P20" s="5" t="n">
        <v>90.6795149747854</v>
      </c>
      <c r="Q20" s="5" t="n">
        <v>25.5359394703657</v>
      </c>
      <c r="R20" s="5" t="n">
        <f aca="false">2*O20/PI()</f>
        <v>12.7323954473516</v>
      </c>
      <c r="S20" s="6" t="n">
        <v>12.5</v>
      </c>
    </row>
    <row r="21" customFormat="false" ht="14.25" hidden="false" customHeight="false" outlineLevel="0" collapsed="false">
      <c r="B21" s="3" t="n">
        <v>21</v>
      </c>
      <c r="C21" s="1" t="n">
        <v>25</v>
      </c>
      <c r="D21" s="1" t="n">
        <f aca="false">SUM(C$4:C21)</f>
        <v>1206</v>
      </c>
      <c r="E21" s="1" t="n">
        <f aca="false">D21/C$126*100</f>
        <v>76.0403530895334</v>
      </c>
      <c r="F21" s="1" t="n">
        <f aca="false">100-E21</f>
        <v>23.9596469104666</v>
      </c>
      <c r="G21" s="1" t="n">
        <f aca="false">C21*PI()*((B21/PI()/100)^2)/4</f>
        <v>0.0877341623794073</v>
      </c>
      <c r="H21" s="1" t="n">
        <f aca="false">G21/G$126*100</f>
        <v>0.581783296407904</v>
      </c>
      <c r="I21" s="1" t="n">
        <f aca="false">SUM(H$4:H21)</f>
        <v>9.90226832162247</v>
      </c>
      <c r="J21" s="1" t="n">
        <f aca="false">100-I21</f>
        <v>90.0977316783775</v>
      </c>
      <c r="O21" s="3" t="n">
        <v>21</v>
      </c>
      <c r="P21" s="1" t="n">
        <v>90.0977316783775</v>
      </c>
      <c r="Q21" s="1" t="n">
        <v>23.9596469104666</v>
      </c>
      <c r="R21" s="1" t="n">
        <f aca="false">2*O21/PI()</f>
        <v>13.3690152197192</v>
      </c>
    </row>
    <row r="22" customFormat="false" ht="14.25" hidden="false" customHeight="false" outlineLevel="0" collapsed="false">
      <c r="B22" s="3" t="n">
        <v>22</v>
      </c>
      <c r="C22" s="1" t="n">
        <v>26</v>
      </c>
      <c r="D22" s="1" t="n">
        <f aca="false">SUM(C$4:C22)</f>
        <v>1232</v>
      </c>
      <c r="E22" s="1" t="n">
        <f aca="false">D22/C$126*100</f>
        <v>77.6796973518285</v>
      </c>
      <c r="F22" s="1" t="n">
        <f aca="false">100-E22</f>
        <v>22.3203026481715</v>
      </c>
      <c r="G22" s="1" t="n">
        <f aca="false">C22*PI()*((B22/PI()/100)^2)/4</f>
        <v>0.100140290193421</v>
      </c>
      <c r="H22" s="1" t="n">
        <f aca="false">G22/G$126*100</f>
        <v>0.664050884534881</v>
      </c>
      <c r="I22" s="1" t="n">
        <f aca="false">SUM(H$4:H22)</f>
        <v>10.5663192061574</v>
      </c>
      <c r="J22" s="1" t="n">
        <f aca="false">100-I22</f>
        <v>89.4336807938427</v>
      </c>
      <c r="O22" s="3" t="n">
        <v>22</v>
      </c>
      <c r="P22" s="1" t="n">
        <v>89.4336807938427</v>
      </c>
      <c r="Q22" s="1" t="n">
        <v>22.3203026481715</v>
      </c>
      <c r="R22" s="1" t="n">
        <f aca="false">2*O22/PI()</f>
        <v>14.0056349920868</v>
      </c>
    </row>
    <row r="23" customFormat="false" ht="14.25" hidden="false" customHeight="false" outlineLevel="0" collapsed="false">
      <c r="B23" s="3" t="n">
        <v>23</v>
      </c>
      <c r="C23" s="1" t="n">
        <v>12</v>
      </c>
      <c r="D23" s="1" t="n">
        <f aca="false">SUM(C$4:C23)</f>
        <v>1244</v>
      </c>
      <c r="E23" s="1" t="n">
        <f aca="false">D23/C$126*100</f>
        <v>78.4363177805801</v>
      </c>
      <c r="F23" s="1" t="n">
        <f aca="false">100-E23</f>
        <v>21.5636822194199</v>
      </c>
      <c r="G23" s="1" t="n">
        <f aca="false">C23*PI()*((B23/PI()/100)^2)/4</f>
        <v>0.0505157789373676</v>
      </c>
      <c r="H23" s="1" t="n">
        <f aca="false">G23/G$126*100</f>
        <v>0.334980532026973</v>
      </c>
      <c r="I23" s="1" t="n">
        <f aca="false">SUM(H$4:H23)</f>
        <v>10.9012997381843</v>
      </c>
      <c r="J23" s="1" t="n">
        <f aca="false">100-I23</f>
        <v>89.0987002618157</v>
      </c>
      <c r="O23" s="3" t="n">
        <v>23</v>
      </c>
      <c r="P23" s="1" t="n">
        <v>89.0987002618157</v>
      </c>
      <c r="Q23" s="1" t="n">
        <v>21.5636822194199</v>
      </c>
      <c r="R23" s="1" t="n">
        <f aca="false">2*O23/PI()</f>
        <v>14.6422547644544</v>
      </c>
    </row>
    <row r="24" customFormat="false" ht="14.25" hidden="false" customHeight="false" outlineLevel="0" collapsed="false">
      <c r="B24" s="3" t="n">
        <v>24</v>
      </c>
      <c r="C24" s="1" t="n">
        <v>14</v>
      </c>
      <c r="D24" s="1" t="n">
        <f aca="false">SUM(C$4:C24)</f>
        <v>1258</v>
      </c>
      <c r="E24" s="1" t="n">
        <f aca="false">D24/C$126*100</f>
        <v>79.3190416141236</v>
      </c>
      <c r="F24" s="1" t="n">
        <f aca="false">100-E24</f>
        <v>20.6809583858764</v>
      </c>
      <c r="G24" s="1" t="n">
        <f aca="false">C24*PI()*((B24/PI()/100)^2)/4</f>
        <v>0.0641712730546522</v>
      </c>
      <c r="H24" s="1" t="n">
        <f aca="false">G24/G$126*100</f>
        <v>0.425532925372638</v>
      </c>
      <c r="I24" s="1" t="n">
        <f aca="false">SUM(H$4:H24)</f>
        <v>11.326832663557</v>
      </c>
      <c r="J24" s="1" t="n">
        <f aca="false">100-I24</f>
        <v>88.673167336443</v>
      </c>
      <c r="O24" s="3" t="n">
        <v>24</v>
      </c>
      <c r="P24" s="1" t="n">
        <v>88.673167336443</v>
      </c>
      <c r="Q24" s="1" t="n">
        <v>20.6809583858764</v>
      </c>
      <c r="R24" s="1" t="n">
        <f aca="false">2*O24/PI()</f>
        <v>15.278874536822</v>
      </c>
    </row>
    <row r="25" customFormat="false" ht="14.25" hidden="false" customHeight="false" outlineLevel="0" collapsed="false">
      <c r="B25" s="3" t="n">
        <v>25</v>
      </c>
      <c r="C25" s="1" t="n">
        <v>22</v>
      </c>
      <c r="D25" s="1" t="n">
        <f aca="false">SUM(C$4:C25)</f>
        <v>1280</v>
      </c>
      <c r="E25" s="1" t="n">
        <f aca="false">D25/C$126*100</f>
        <v>80.7061790668348</v>
      </c>
      <c r="F25" s="1" t="n">
        <f aca="false">100-E25</f>
        <v>19.2938209331652</v>
      </c>
      <c r="G25" s="1" t="n">
        <f aca="false">C25*PI()*((B25/PI()/100)^2)/4</f>
        <v>0.109419023375678</v>
      </c>
      <c r="H25" s="1" t="n">
        <f aca="false">G25/G$126*100</f>
        <v>0.725580074885141</v>
      </c>
      <c r="I25" s="1" t="n">
        <f aca="false">SUM(H$4:H25)</f>
        <v>12.0524127384421</v>
      </c>
      <c r="J25" s="1" t="n">
        <f aca="false">100-I25</f>
        <v>87.9475872615579</v>
      </c>
      <c r="O25" s="3" t="n">
        <v>25</v>
      </c>
      <c r="P25" s="1" t="n">
        <v>87.9475872615579</v>
      </c>
      <c r="Q25" s="1" t="n">
        <v>19.2938209331652</v>
      </c>
      <c r="R25" s="1" t="n">
        <f aca="false">2*O25/PI()</f>
        <v>15.9154943091895</v>
      </c>
    </row>
    <row r="26" customFormat="false" ht="14.25" hidden="false" customHeight="false" outlineLevel="0" collapsed="false">
      <c r="B26" s="3" t="n">
        <v>26</v>
      </c>
      <c r="C26" s="1" t="n">
        <v>18</v>
      </c>
      <c r="D26" s="1" t="n">
        <f aca="false">SUM(C$4:C26)</f>
        <v>1298</v>
      </c>
      <c r="E26" s="1" t="n">
        <f aca="false">D26/C$126*100</f>
        <v>81.8411097099622</v>
      </c>
      <c r="F26" s="1" t="n">
        <f aca="false">100-E26</f>
        <v>18.1588902900378</v>
      </c>
      <c r="G26" s="1" t="n">
        <f aca="false">C26*PI()*((B26/PI()/100)^2)/4</f>
        <v>0.0968298673771091</v>
      </c>
      <c r="H26" s="1" t="n">
        <f aca="false">G26/G$126*100</f>
        <v>0.642098789178356</v>
      </c>
      <c r="I26" s="1" t="n">
        <f aca="false">SUM(H$4:H26)</f>
        <v>12.6945115276205</v>
      </c>
      <c r="J26" s="1" t="n">
        <f aca="false">100-I26</f>
        <v>87.3054884723795</v>
      </c>
      <c r="O26" s="3" t="n">
        <v>26</v>
      </c>
      <c r="P26" s="1" t="n">
        <v>87.3054884723795</v>
      </c>
      <c r="Q26" s="1" t="n">
        <v>18.1588902900378</v>
      </c>
      <c r="R26" s="1" t="n">
        <f aca="false">2*O26/PI()</f>
        <v>16.5521140815571</v>
      </c>
    </row>
    <row r="27" customFormat="false" ht="14.25" hidden="false" customHeight="false" outlineLevel="0" collapsed="false">
      <c r="B27" s="3" t="n">
        <v>27</v>
      </c>
      <c r="C27" s="1" t="n">
        <v>12</v>
      </c>
      <c r="D27" s="1" t="n">
        <f aca="false">SUM(C$4:C27)</f>
        <v>1310</v>
      </c>
      <c r="E27" s="1" t="n">
        <f aca="false">D27/C$126*100</f>
        <v>82.5977301387137</v>
      </c>
      <c r="F27" s="1" t="n">
        <f aca="false">100-E27</f>
        <v>17.4022698612863</v>
      </c>
      <c r="G27" s="1" t="n">
        <f aca="false">C27*PI()*((B27/PI()/100)^2)/4</f>
        <v>0.069614372108395</v>
      </c>
      <c r="H27" s="1" t="n">
        <f aca="false">G27/G$126*100</f>
        <v>0.461627236006924</v>
      </c>
      <c r="I27" s="1" t="n">
        <f aca="false">SUM(H$4:H27)</f>
        <v>13.1561387636274</v>
      </c>
      <c r="J27" s="1" t="n">
        <f aca="false">100-I27</f>
        <v>86.8438612363726</v>
      </c>
      <c r="O27" s="3" t="n">
        <v>27</v>
      </c>
      <c r="P27" s="1" t="n">
        <v>86.8438612363726</v>
      </c>
      <c r="Q27" s="1" t="n">
        <v>17.4022698612863</v>
      </c>
      <c r="R27" s="1" t="n">
        <f aca="false">2*O27/PI()</f>
        <v>17.1887338539247</v>
      </c>
    </row>
    <row r="28" customFormat="false" ht="14.25" hidden="false" customHeight="false" outlineLevel="0" collapsed="false">
      <c r="B28" s="3" t="n">
        <v>28</v>
      </c>
      <c r="C28" s="1" t="n">
        <v>13</v>
      </c>
      <c r="D28" s="1" t="n">
        <f aca="false">SUM(C$4:C28)</f>
        <v>1323</v>
      </c>
      <c r="E28" s="1" t="n">
        <f aca="false">D28/C$126*100</f>
        <v>83.4174022698613</v>
      </c>
      <c r="F28" s="1" t="n">
        <f aca="false">100-E28</f>
        <v>16.5825977301387</v>
      </c>
      <c r="G28" s="1" t="n">
        <f aca="false">C28*PI()*((B28/PI()/100)^2)/4</f>
        <v>0.0811053589996299</v>
      </c>
      <c r="H28" s="1" t="n">
        <f aca="false">G28/G$126*100</f>
        <v>0.537826336234862</v>
      </c>
      <c r="I28" s="1" t="n">
        <f aca="false">SUM(H$4:H28)</f>
        <v>13.6939650998622</v>
      </c>
      <c r="J28" s="1" t="n">
        <f aca="false">100-I28</f>
        <v>86.3060349001378</v>
      </c>
      <c r="O28" s="3" t="n">
        <v>28</v>
      </c>
      <c r="P28" s="1" t="n">
        <v>86.3060349001378</v>
      </c>
      <c r="Q28" s="1" t="n">
        <v>16.5825977301387</v>
      </c>
      <c r="R28" s="1" t="n">
        <f aca="false">2*O28/PI()</f>
        <v>17.8253536262923</v>
      </c>
    </row>
    <row r="29" customFormat="false" ht="14.25" hidden="false" customHeight="false" outlineLevel="0" collapsed="false">
      <c r="B29" s="3" t="n">
        <v>29</v>
      </c>
      <c r="C29" s="1" t="n">
        <v>13</v>
      </c>
      <c r="D29" s="1" t="n">
        <f aca="false">SUM(C$4:C29)</f>
        <v>1336</v>
      </c>
      <c r="E29" s="1" t="n">
        <f aca="false">D29/C$126*100</f>
        <v>84.2370744010088</v>
      </c>
      <c r="F29" s="1" t="n">
        <f aca="false">100-E29</f>
        <v>15.7629255989912</v>
      </c>
      <c r="G29" s="1" t="n">
        <f aca="false">C29*PI()*((B29/PI()/100)^2)/4</f>
        <v>0.0870020496411846</v>
      </c>
      <c r="H29" s="1" t="n">
        <f aca="false">G29/G$126*100</f>
        <v>0.576928506088672</v>
      </c>
      <c r="I29" s="1" t="n">
        <f aca="false">SUM(H$4:H29)</f>
        <v>14.2708936059509</v>
      </c>
      <c r="J29" s="1" t="n">
        <f aca="false">100-I29</f>
        <v>85.7291063940491</v>
      </c>
      <c r="O29" s="3" t="n">
        <v>29</v>
      </c>
      <c r="P29" s="1" t="n">
        <v>85.7291063940491</v>
      </c>
      <c r="Q29" s="1" t="n">
        <v>15.7629255989912</v>
      </c>
      <c r="R29" s="1" t="n">
        <f aca="false">2*O29/PI()</f>
        <v>18.4619733986599</v>
      </c>
    </row>
    <row r="30" customFormat="false" ht="14.25" hidden="false" customHeight="false" outlineLevel="0" collapsed="false">
      <c r="B30" s="3" t="n">
        <v>30</v>
      </c>
      <c r="C30" s="1" t="n">
        <v>24</v>
      </c>
      <c r="D30" s="1" t="n">
        <f aca="false">SUM(C$4:C30)</f>
        <v>1360</v>
      </c>
      <c r="E30" s="1" t="n">
        <f aca="false">D30/C$126*100</f>
        <v>85.750315258512</v>
      </c>
      <c r="F30" s="1" t="n">
        <f aca="false">100-E30</f>
        <v>14.249684741488</v>
      </c>
      <c r="G30" s="1" t="n">
        <f aca="false">C30*PI()*((B30/PI()/100)^2)/4</f>
        <v>0.171887338539247</v>
      </c>
      <c r="H30" s="1" t="n">
        <f aca="false">G30/G$126*100</f>
        <v>1.13982033581957</v>
      </c>
      <c r="I30" s="1" t="n">
        <f aca="false">SUM(H$4:H30)</f>
        <v>15.4107139417705</v>
      </c>
      <c r="J30" s="1" t="n">
        <f aca="false">100-I30</f>
        <v>84.5892860582295</v>
      </c>
      <c r="O30" s="4" t="n">
        <v>30</v>
      </c>
      <c r="P30" s="5" t="n">
        <v>84.5892860582295</v>
      </c>
      <c r="Q30" s="1" t="n">
        <v>14.249684741488</v>
      </c>
      <c r="R30" s="1" t="n">
        <f aca="false">2*O30/PI()</f>
        <v>19.0985931710274</v>
      </c>
    </row>
    <row r="31" customFormat="false" ht="14.25" hidden="false" customHeight="false" outlineLevel="0" collapsed="false">
      <c r="B31" s="3" t="n">
        <v>31</v>
      </c>
      <c r="C31" s="1" t="n">
        <v>6</v>
      </c>
      <c r="D31" s="1" t="n">
        <f aca="false">SUM(C$4:C31)</f>
        <v>1366</v>
      </c>
      <c r="E31" s="1" t="n">
        <f aca="false">D31/C$126*100</f>
        <v>86.1286254728878</v>
      </c>
      <c r="F31" s="1" t="n">
        <f aca="false">100-E31</f>
        <v>13.8713745271122</v>
      </c>
      <c r="G31" s="1" t="n">
        <f aca="false">C31*PI()*((B31/PI()/100)^2)/4</f>
        <v>0.0458843700933934</v>
      </c>
      <c r="H31" s="1" t="n">
        <f aca="false">G31/G$126*100</f>
        <v>0.304268706311834</v>
      </c>
      <c r="I31" s="1" t="n">
        <f aca="false">SUM(H$4:H31)</f>
        <v>15.7149826480823</v>
      </c>
      <c r="J31" s="1" t="n">
        <f aca="false">100-I31</f>
        <v>84.2850173519177</v>
      </c>
      <c r="O31" s="3" t="n">
        <v>31</v>
      </c>
      <c r="P31" s="1" t="n">
        <v>84.2850173519177</v>
      </c>
      <c r="Q31" s="1" t="n">
        <v>13.8713745271122</v>
      </c>
      <c r="R31" s="1" t="n">
        <f aca="false">2*O31/PI()</f>
        <v>19.735212943395</v>
      </c>
    </row>
    <row r="32" customFormat="false" ht="14.25" hidden="false" customHeight="false" outlineLevel="0" collapsed="false">
      <c r="B32" s="3" t="n">
        <v>32</v>
      </c>
      <c r="C32" s="1" t="n">
        <v>13</v>
      </c>
      <c r="D32" s="1" t="n">
        <f aca="false">SUM(C$4:C32)</f>
        <v>1379</v>
      </c>
      <c r="E32" s="1" t="n">
        <f aca="false">D32/C$126*100</f>
        <v>86.9482976040353</v>
      </c>
      <c r="F32" s="1" t="n">
        <f aca="false">100-E32</f>
        <v>13.0517023959647</v>
      </c>
      <c r="G32" s="1" t="n">
        <f aca="false">C32*PI()*((B32/PI()/100)^2)/4</f>
        <v>0.105933530121966</v>
      </c>
      <c r="H32" s="1" t="n">
        <f aca="false">G32/G$126*100</f>
        <v>0.7024670514088</v>
      </c>
      <c r="I32" s="1" t="n">
        <f aca="false">SUM(H$4:H32)</f>
        <v>16.4174496994911</v>
      </c>
      <c r="J32" s="1" t="n">
        <f aca="false">100-I32</f>
        <v>83.5825503005089</v>
      </c>
      <c r="O32" s="3" t="n">
        <v>32</v>
      </c>
      <c r="P32" s="1" t="n">
        <v>83.5825503005089</v>
      </c>
      <c r="Q32" s="1" t="n">
        <v>13.0517023959647</v>
      </c>
      <c r="R32" s="1" t="n">
        <f aca="false">2*O32/PI()</f>
        <v>20.3718327157626</v>
      </c>
    </row>
    <row r="33" customFormat="false" ht="14.25" hidden="false" customHeight="false" outlineLevel="0" collapsed="false">
      <c r="B33" s="3" t="n">
        <v>33</v>
      </c>
      <c r="C33" s="1" t="n">
        <v>4</v>
      </c>
      <c r="D33" s="1" t="n">
        <f aca="false">SUM(C$4:C33)</f>
        <v>1383</v>
      </c>
      <c r="E33" s="1" t="n">
        <f aca="false">D33/C$126*100</f>
        <v>87.2005044136192</v>
      </c>
      <c r="F33" s="1" t="n">
        <f aca="false">100-E33</f>
        <v>12.7994955863808</v>
      </c>
      <c r="G33" s="1" t="n">
        <f aca="false">C33*PI()*((B33/PI()/100)^2)/4</f>
        <v>0.0346639466054148</v>
      </c>
      <c r="H33" s="1" t="n">
        <f aca="false">G33/G$126*100</f>
        <v>0.229863767723613</v>
      </c>
      <c r="I33" s="1" t="n">
        <f aca="false">SUM(H$4:H33)</f>
        <v>16.6473134672147</v>
      </c>
      <c r="J33" s="1" t="n">
        <f aca="false">100-I33</f>
        <v>83.3526865327853</v>
      </c>
      <c r="O33" s="3" t="n">
        <v>33</v>
      </c>
      <c r="P33" s="1" t="n">
        <v>83.3526865327853</v>
      </c>
      <c r="Q33" s="1" t="n">
        <v>12.7994955863808</v>
      </c>
      <c r="R33" s="1" t="n">
        <f aca="false">2*O33/PI()</f>
        <v>21.0084524881302</v>
      </c>
    </row>
    <row r="34" customFormat="false" ht="14.25" hidden="false" customHeight="false" outlineLevel="0" collapsed="false">
      <c r="B34" s="3" t="n">
        <v>34</v>
      </c>
      <c r="C34" s="1" t="n">
        <v>11</v>
      </c>
      <c r="D34" s="1" t="n">
        <f aca="false">SUM(C$4:C34)</f>
        <v>1394</v>
      </c>
      <c r="E34" s="1" t="n">
        <f aca="false">D34/C$126*100</f>
        <v>87.8940731399748</v>
      </c>
      <c r="F34" s="1" t="n">
        <f aca="false">100-E34</f>
        <v>12.1059268600252</v>
      </c>
      <c r="G34" s="1" t="n">
        <f aca="false">C34*PI()*((B34/PI()/100)^2)/4</f>
        <v>0.101190712817827</v>
      </c>
      <c r="H34" s="1" t="n">
        <f aca="false">G34/G$126*100</f>
        <v>0.671016453253778</v>
      </c>
      <c r="I34" s="1" t="n">
        <f aca="false">SUM(H$4:H34)</f>
        <v>17.3183299204685</v>
      </c>
      <c r="J34" s="1" t="n">
        <f aca="false">100-I34</f>
        <v>82.6816700795315</v>
      </c>
      <c r="O34" s="3" t="n">
        <v>34</v>
      </c>
      <c r="P34" s="1" t="n">
        <v>82.6816700795315</v>
      </c>
      <c r="Q34" s="1" t="n">
        <v>12.1059268600252</v>
      </c>
      <c r="R34" s="1" t="n">
        <f aca="false">2*O34/PI()</f>
        <v>21.6450722604978</v>
      </c>
    </row>
    <row r="35" customFormat="false" ht="14.25" hidden="false" customHeight="false" outlineLevel="0" collapsed="false">
      <c r="B35" s="3" t="n">
        <v>35</v>
      </c>
      <c r="C35" s="1" t="n">
        <v>1</v>
      </c>
      <c r="D35" s="1" t="n">
        <f aca="false">SUM(C$4:C35)</f>
        <v>1395</v>
      </c>
      <c r="E35" s="1" t="n">
        <f aca="false">D35/C$126*100</f>
        <v>87.9571248423708</v>
      </c>
      <c r="F35" s="1" t="n">
        <f aca="false">100-E35</f>
        <v>12.0428751576293</v>
      </c>
      <c r="G35" s="1" t="n">
        <f aca="false">C35*PI()*((B35/PI()/100)^2)/4</f>
        <v>0.00974824026437859</v>
      </c>
      <c r="H35" s="1" t="n">
        <f aca="false">G35/G$126*100</f>
        <v>0.0646425884897671</v>
      </c>
      <c r="I35" s="1" t="n">
        <f aca="false">SUM(H$4:H35)</f>
        <v>17.3829725089583</v>
      </c>
      <c r="J35" s="1" t="n">
        <f aca="false">100-I35</f>
        <v>82.6170274910417</v>
      </c>
      <c r="O35" s="3" t="n">
        <v>35</v>
      </c>
      <c r="P35" s="1" t="n">
        <v>82.6170274910417</v>
      </c>
      <c r="Q35" s="1" t="n">
        <v>12.0428751576293</v>
      </c>
      <c r="R35" s="1" t="n">
        <f aca="false">2*O35/PI()</f>
        <v>22.2816920328653</v>
      </c>
    </row>
    <row r="36" customFormat="false" ht="14.25" hidden="false" customHeight="false" outlineLevel="0" collapsed="false">
      <c r="B36" s="3" t="n">
        <v>36</v>
      </c>
      <c r="C36" s="1" t="n">
        <v>11</v>
      </c>
      <c r="D36" s="1" t="n">
        <f aca="false">SUM(C$4:C36)</f>
        <v>1406</v>
      </c>
      <c r="E36" s="1" t="n">
        <f aca="false">D36/C$126*100</f>
        <v>88.6506935687264</v>
      </c>
      <c r="F36" s="1" t="n">
        <f aca="false">100-E36</f>
        <v>11.3493064312736</v>
      </c>
      <c r="G36" s="1" t="n">
        <f aca="false">C36*PI()*((B36/PI()/100)^2)/4</f>
        <v>0.113445643435903</v>
      </c>
      <c r="H36" s="1" t="n">
        <f aca="false">G36/G$126*100</f>
        <v>0.752281421640914</v>
      </c>
      <c r="I36" s="1" t="n">
        <f aca="false">SUM(H$4:H36)</f>
        <v>18.1352539305992</v>
      </c>
      <c r="J36" s="1" t="n">
        <f aca="false">100-I36</f>
        <v>81.8647460694008</v>
      </c>
      <c r="O36" s="3" t="n">
        <v>36</v>
      </c>
      <c r="P36" s="1" t="n">
        <v>81.8647460694008</v>
      </c>
      <c r="Q36" s="1" t="n">
        <v>11.3493064312736</v>
      </c>
      <c r="R36" s="1" t="n">
        <f aca="false">2*O36/PI()</f>
        <v>22.9183118052329</v>
      </c>
    </row>
    <row r="37" customFormat="false" ht="14.25" hidden="false" customHeight="false" outlineLevel="0" collapsed="false">
      <c r="B37" s="3" t="n">
        <v>37</v>
      </c>
      <c r="C37" s="1" t="n">
        <v>7</v>
      </c>
      <c r="D37" s="1" t="n">
        <f aca="false">SUM(C$4:C37)</f>
        <v>1413</v>
      </c>
      <c r="E37" s="1" t="n">
        <f aca="false">D37/C$126*100</f>
        <v>89.0920554854981</v>
      </c>
      <c r="F37" s="1" t="n">
        <f aca="false">100-E37</f>
        <v>10.9079445145019</v>
      </c>
      <c r="G37" s="1" t="n">
        <f aca="false">C37*PI()*((B37/PI()/100)^2)/4</f>
        <v>0.0762590909824817</v>
      </c>
      <c r="H37" s="1" t="n">
        <f aca="false">G37/G$126*100</f>
        <v>0.505689735099949</v>
      </c>
      <c r="I37" s="1" t="n">
        <f aca="false">SUM(H$4:H37)</f>
        <v>18.6409436656991</v>
      </c>
      <c r="J37" s="1" t="n">
        <f aca="false">100-I37</f>
        <v>81.3590563343009</v>
      </c>
      <c r="O37" s="3" t="n">
        <v>37</v>
      </c>
      <c r="P37" s="1" t="n">
        <v>81.3590563343009</v>
      </c>
      <c r="Q37" s="1" t="n">
        <v>10.9079445145019</v>
      </c>
      <c r="R37" s="1" t="n">
        <f aca="false">2*O37/PI()</f>
        <v>23.5549315776005</v>
      </c>
    </row>
    <row r="38" customFormat="false" ht="14.25" hidden="false" customHeight="false" outlineLevel="0" collapsed="false">
      <c r="B38" s="3" t="n">
        <v>38</v>
      </c>
      <c r="C38" s="1" t="n">
        <v>5</v>
      </c>
      <c r="D38" s="1" t="n">
        <f aca="false">SUM(C$4:C38)</f>
        <v>1418</v>
      </c>
      <c r="E38" s="1" t="n">
        <f aca="false">D38/C$126*100</f>
        <v>89.4073139974779</v>
      </c>
      <c r="F38" s="1" t="n">
        <f aca="false">100-E38</f>
        <v>10.5926860025221</v>
      </c>
      <c r="G38" s="1" t="n">
        <f aca="false">C38*PI()*((B38/PI()/100)^2)/4</f>
        <v>0.0574549344561742</v>
      </c>
      <c r="H38" s="1" t="n">
        <f aca="false">G38/G$126*100</f>
        <v>0.380995501139688</v>
      </c>
      <c r="I38" s="1" t="n">
        <f aca="false">SUM(H$4:H38)</f>
        <v>19.0219391668388</v>
      </c>
      <c r="J38" s="1" t="n">
        <f aca="false">100-I38</f>
        <v>80.9780608331612</v>
      </c>
      <c r="O38" s="3" t="n">
        <v>38</v>
      </c>
      <c r="P38" s="1" t="n">
        <v>80.9780608331612</v>
      </c>
      <c r="Q38" s="1" t="n">
        <v>10.5926860025221</v>
      </c>
      <c r="R38" s="1" t="n">
        <f aca="false">2*O38/PI()</f>
        <v>24.1915513499681</v>
      </c>
    </row>
    <row r="39" customFormat="false" ht="14.25" hidden="false" customHeight="false" outlineLevel="0" collapsed="false">
      <c r="B39" s="3" t="n">
        <v>39</v>
      </c>
      <c r="C39" s="1" t="n">
        <v>5</v>
      </c>
      <c r="D39" s="1" t="n">
        <f aca="false">SUM(C$4:C39)</f>
        <v>1423</v>
      </c>
      <c r="E39" s="1" t="n">
        <f aca="false">D39/C$126*100</f>
        <v>89.7225725094578</v>
      </c>
      <c r="F39" s="1" t="n">
        <f aca="false">100-E39</f>
        <v>10.2774274905423</v>
      </c>
      <c r="G39" s="1" t="n">
        <f aca="false">C39*PI()*((B39/PI()/100)^2)/4</f>
        <v>0.0605186671106932</v>
      </c>
      <c r="H39" s="1" t="n">
        <f aca="false">G39/G$126*100</f>
        <v>0.401311743236472</v>
      </c>
      <c r="I39" s="1" t="n">
        <f aca="false">SUM(H$4:H39)</f>
        <v>19.4232509100753</v>
      </c>
      <c r="J39" s="1" t="n">
        <f aca="false">100-I39</f>
        <v>80.5767490899247</v>
      </c>
      <c r="O39" s="3" t="n">
        <v>39</v>
      </c>
      <c r="P39" s="1" t="n">
        <v>80.5767490899247</v>
      </c>
      <c r="Q39" s="1" t="n">
        <v>10.2774274905423</v>
      </c>
      <c r="R39" s="1" t="n">
        <f aca="false">2*O39/PI()</f>
        <v>24.8281711223357</v>
      </c>
    </row>
    <row r="40" customFormat="false" ht="14.25" hidden="false" customHeight="false" outlineLevel="0" collapsed="false">
      <c r="B40" s="3" t="n">
        <v>40</v>
      </c>
      <c r="C40" s="1" t="n">
        <v>9</v>
      </c>
      <c r="D40" s="1" t="n">
        <f aca="false">SUM(C$4:C40)</f>
        <v>1432</v>
      </c>
      <c r="E40" s="1" t="n">
        <f aca="false">D40/C$126*100</f>
        <v>90.2900378310214</v>
      </c>
      <c r="F40" s="1" t="n">
        <f aca="false">100-E40</f>
        <v>9.70996216897856</v>
      </c>
      <c r="G40" s="1" t="n">
        <f aca="false">C40*PI()*((B40/PI()/100)^2)/4</f>
        <v>0.114591559026165</v>
      </c>
      <c r="H40" s="1" t="n">
        <f aca="false">G40/G$126*100</f>
        <v>0.759880223879711</v>
      </c>
      <c r="I40" s="1" t="n">
        <f aca="false">SUM(H$4:H40)</f>
        <v>20.183131133955</v>
      </c>
      <c r="J40" s="1" t="n">
        <f aca="false">100-I40</f>
        <v>79.816868866045</v>
      </c>
      <c r="O40" s="3" t="n">
        <v>40</v>
      </c>
      <c r="P40" s="1" t="n">
        <v>79.816868866045</v>
      </c>
      <c r="Q40" s="1" t="n">
        <v>9.70996216897856</v>
      </c>
      <c r="R40" s="1" t="n">
        <f aca="false">2*O40/PI()</f>
        <v>25.4647908947033</v>
      </c>
    </row>
    <row r="41" customFormat="false" ht="14.25" hidden="false" customHeight="false" outlineLevel="0" collapsed="false">
      <c r="B41" s="3" t="n">
        <v>41</v>
      </c>
      <c r="C41" s="1" t="n">
        <v>1</v>
      </c>
      <c r="D41" s="1" t="n">
        <f aca="false">SUM(C$4:C41)</f>
        <v>1433</v>
      </c>
      <c r="E41" s="1" t="n">
        <f aca="false">D41/C$126*100</f>
        <v>90.3530895334174</v>
      </c>
      <c r="F41" s="1" t="n">
        <f aca="false">100-E41</f>
        <v>9.6469104665826</v>
      </c>
      <c r="G41" s="1" t="n">
        <f aca="false">C41*PI()*((B41/PI()/100)^2)/4</f>
        <v>0.0133769729668738</v>
      </c>
      <c r="H41" s="1" t="n">
        <f aca="false">G41/G$126*100</f>
        <v>0.0887054622459579</v>
      </c>
      <c r="I41" s="1" t="n">
        <f aca="false">SUM(H$4:H41)</f>
        <v>20.271836596201</v>
      </c>
      <c r="J41" s="1" t="n">
        <f aca="false">100-I41</f>
        <v>79.728163403799</v>
      </c>
      <c r="O41" s="3" t="n">
        <v>41</v>
      </c>
      <c r="P41" s="1" t="n">
        <v>79.728163403799</v>
      </c>
      <c r="Q41" s="1" t="n">
        <v>9.6469104665826</v>
      </c>
      <c r="R41" s="1" t="n">
        <f aca="false">2*O41/PI()</f>
        <v>26.1014106670708</v>
      </c>
    </row>
    <row r="42" customFormat="false" ht="14.25" hidden="false" customHeight="false" outlineLevel="0" collapsed="false">
      <c r="B42" s="3" t="n">
        <v>42</v>
      </c>
      <c r="C42" s="1" t="n">
        <v>4</v>
      </c>
      <c r="D42" s="1" t="n">
        <f aca="false">SUM(C$4:C42)</f>
        <v>1437</v>
      </c>
      <c r="E42" s="1" t="n">
        <f aca="false">D42/C$126*100</f>
        <v>90.6052963430013</v>
      </c>
      <c r="F42" s="1" t="n">
        <f aca="false">100-E42</f>
        <v>9.39470365699874</v>
      </c>
      <c r="G42" s="1" t="n">
        <f aca="false">C42*PI()*((B42/PI()/100)^2)/4</f>
        <v>0.0561498639228207</v>
      </c>
      <c r="H42" s="1" t="n">
        <f aca="false">G42/G$126*100</f>
        <v>0.372341309701058</v>
      </c>
      <c r="I42" s="1" t="n">
        <f aca="false">SUM(H$4:H42)</f>
        <v>20.644177905902</v>
      </c>
      <c r="J42" s="1" t="n">
        <f aca="false">100-I42</f>
        <v>79.355822094098</v>
      </c>
      <c r="O42" s="3" t="n">
        <v>42</v>
      </c>
      <c r="P42" s="1" t="n">
        <v>79.355822094098</v>
      </c>
      <c r="Q42" s="1" t="n">
        <v>9.39470365699874</v>
      </c>
      <c r="R42" s="1" t="n">
        <f aca="false">2*O42/PI()</f>
        <v>26.7380304394384</v>
      </c>
    </row>
    <row r="43" customFormat="false" ht="14.25" hidden="false" customHeight="false" outlineLevel="0" collapsed="false">
      <c r="B43" s="3" t="n">
        <v>43</v>
      </c>
      <c r="C43" s="1" t="n">
        <v>1</v>
      </c>
      <c r="D43" s="1" t="n">
        <f aca="false">SUM(C$4:C43)</f>
        <v>1438</v>
      </c>
      <c r="E43" s="1" t="n">
        <f aca="false">D43/C$126*100</f>
        <v>90.6683480453972</v>
      </c>
      <c r="F43" s="1" t="n">
        <f aca="false">100-E43</f>
        <v>9.33165195460278</v>
      </c>
      <c r="G43" s="1" t="n">
        <f aca="false">C43*PI()*((B43/PI()/100)^2)/4</f>
        <v>0.0147138744888457</v>
      </c>
      <c r="H43" s="1" t="n">
        <f aca="false">G43/G$126*100</f>
        <v>0.0975707315245546</v>
      </c>
      <c r="I43" s="1" t="n">
        <f aca="false">SUM(H$4:H43)</f>
        <v>20.7417486374266</v>
      </c>
      <c r="J43" s="1" t="n">
        <f aca="false">100-I43</f>
        <v>79.2582513625734</v>
      </c>
      <c r="O43" s="3" t="n">
        <v>43</v>
      </c>
      <c r="P43" s="1" t="n">
        <v>79.2582513625734</v>
      </c>
      <c r="Q43" s="1" t="n">
        <v>9.33165195460278</v>
      </c>
      <c r="R43" s="1" t="n">
        <f aca="false">2*O43/PI()</f>
        <v>27.374650211806</v>
      </c>
    </row>
    <row r="44" customFormat="false" ht="14.25" hidden="false" customHeight="false" outlineLevel="0" collapsed="false">
      <c r="B44" s="3" t="n">
        <v>44</v>
      </c>
      <c r="C44" s="1" t="n">
        <v>4</v>
      </c>
      <c r="D44" s="1" t="n">
        <f aca="false">SUM(C$4:C44)</f>
        <v>1442</v>
      </c>
      <c r="E44" s="1" t="n">
        <f aca="false">D44/C$126*100</f>
        <v>90.9205548549811</v>
      </c>
      <c r="F44" s="1" t="n">
        <f aca="false">100-E44</f>
        <v>9.07944514501892</v>
      </c>
      <c r="G44" s="1" t="n">
        <f aca="false">C44*PI()*((B44/PI()/100)^2)/4</f>
        <v>0.0616247939651819</v>
      </c>
      <c r="H44" s="1" t="n">
        <f aca="false">G44/G$126*100</f>
        <v>0.408646698175311</v>
      </c>
      <c r="I44" s="1" t="n">
        <f aca="false">SUM(H$4:H44)</f>
        <v>21.1503953356019</v>
      </c>
      <c r="J44" s="1" t="n">
        <f aca="false">100-I44</f>
        <v>78.8496046643981</v>
      </c>
      <c r="O44" s="3" t="n">
        <v>44</v>
      </c>
      <c r="P44" s="1" t="n">
        <v>78.8496046643981</v>
      </c>
      <c r="Q44" s="1" t="n">
        <v>9.07944514501892</v>
      </c>
      <c r="R44" s="1" t="n">
        <f aca="false">2*O44/PI()</f>
        <v>28.0112699841736</v>
      </c>
    </row>
    <row r="45" customFormat="false" ht="14.25" hidden="false" customHeight="false" outlineLevel="0" collapsed="false">
      <c r="B45" s="3" t="n">
        <v>45</v>
      </c>
      <c r="C45" s="1" t="n">
        <v>5</v>
      </c>
      <c r="D45" s="1" t="n">
        <f aca="false">SUM(C$4:C45)</f>
        <v>1447</v>
      </c>
      <c r="E45" s="1" t="n">
        <f aca="false">D45/C$126*100</f>
        <v>91.2358133669609</v>
      </c>
      <c r="F45" s="1" t="n">
        <f aca="false">100-E45</f>
        <v>8.76418663303909</v>
      </c>
      <c r="G45" s="1" t="n">
        <f aca="false">C45*PI()*((B45/PI()/100)^2)/4</f>
        <v>0.080572189940272</v>
      </c>
      <c r="H45" s="1" t="n">
        <f aca="false">G45/G$126*100</f>
        <v>0.534290782415422</v>
      </c>
      <c r="I45" s="1" t="n">
        <f aca="false">SUM(H$4:H45)</f>
        <v>21.6846861180173</v>
      </c>
      <c r="J45" s="1" t="n">
        <f aca="false">100-I45</f>
        <v>78.3153138819827</v>
      </c>
      <c r="O45" s="3" t="n">
        <v>45</v>
      </c>
      <c r="P45" s="1" t="n">
        <v>78.3153138819827</v>
      </c>
      <c r="Q45" s="1" t="n">
        <v>8.76418663303909</v>
      </c>
      <c r="R45" s="1" t="n">
        <f aca="false">2*O45/PI()</f>
        <v>28.6478897565412</v>
      </c>
    </row>
    <row r="46" customFormat="false" ht="14.25" hidden="false" customHeight="false" outlineLevel="0" collapsed="false">
      <c r="B46" s="3" t="n">
        <v>46</v>
      </c>
      <c r="C46" s="1" t="n">
        <v>2</v>
      </c>
      <c r="D46" s="1" t="n">
        <f aca="false">SUM(C$4:C46)</f>
        <v>1449</v>
      </c>
      <c r="E46" s="1" t="n">
        <f aca="false">D46/C$126*100</f>
        <v>91.3619167717528</v>
      </c>
      <c r="F46" s="1" t="n">
        <f aca="false">100-E46</f>
        <v>8.63808322824717</v>
      </c>
      <c r="G46" s="1" t="n">
        <f aca="false">C46*PI()*((B46/PI()/100)^2)/4</f>
        <v>0.0336771859582451</v>
      </c>
      <c r="H46" s="1" t="n">
        <f aca="false">G46/G$126*100</f>
        <v>0.223320354684648</v>
      </c>
      <c r="I46" s="1" t="n">
        <f aca="false">SUM(H$4:H46)</f>
        <v>21.908006472702</v>
      </c>
      <c r="J46" s="1" t="n">
        <f aca="false">100-I46</f>
        <v>78.091993527298</v>
      </c>
      <c r="O46" s="3" t="n">
        <v>46</v>
      </c>
      <c r="P46" s="1" t="n">
        <v>78.091993527298</v>
      </c>
      <c r="Q46" s="1" t="n">
        <v>8.63808322824717</v>
      </c>
      <c r="R46" s="1" t="n">
        <f aca="false">2*O46/PI()</f>
        <v>29.2845095289087</v>
      </c>
    </row>
    <row r="47" customFormat="false" ht="14.25" hidden="false" customHeight="false" outlineLevel="0" collapsed="false">
      <c r="B47" s="3" t="n">
        <v>47</v>
      </c>
      <c r="C47" s="1" t="n">
        <v>2</v>
      </c>
      <c r="D47" s="1" t="n">
        <f aca="false">SUM(C$4:C47)</f>
        <v>1451</v>
      </c>
      <c r="E47" s="1" t="n">
        <f aca="false">D47/C$126*100</f>
        <v>91.4880201765448</v>
      </c>
      <c r="F47" s="1" t="n">
        <f aca="false">100-E47</f>
        <v>8.51197982345524</v>
      </c>
      <c r="G47" s="1" t="n">
        <f aca="false">C47*PI()*((B47/PI()/100)^2)/4</f>
        <v>0.0351573269289997</v>
      </c>
      <c r="H47" s="1" t="n">
        <f aca="false">G47/G$126*100</f>
        <v>0.233135474243095</v>
      </c>
      <c r="I47" s="1" t="n">
        <f aca="false">SUM(H$4:H47)</f>
        <v>22.1411419469451</v>
      </c>
      <c r="J47" s="1" t="n">
        <f aca="false">100-I47</f>
        <v>77.858858053055</v>
      </c>
      <c r="O47" s="3" t="n">
        <v>47</v>
      </c>
      <c r="P47" s="1" t="n">
        <v>77.858858053055</v>
      </c>
      <c r="Q47" s="1" t="n">
        <v>8.51197982345524</v>
      </c>
      <c r="R47" s="1" t="n">
        <f aca="false">2*O47/PI()</f>
        <v>29.9211293012763</v>
      </c>
    </row>
    <row r="48" customFormat="false" ht="14.25" hidden="false" customHeight="false" outlineLevel="0" collapsed="false">
      <c r="B48" s="3" t="n">
        <v>48</v>
      </c>
      <c r="C48" s="1" t="n">
        <v>2</v>
      </c>
      <c r="D48" s="1" t="n">
        <f aca="false">SUM(C$4:C48)</f>
        <v>1453</v>
      </c>
      <c r="E48" s="1" t="n">
        <f aca="false">D48/C$126*100</f>
        <v>91.6141235813367</v>
      </c>
      <c r="F48" s="1" t="n">
        <f aca="false">100-E48</f>
        <v>8.3858764186633</v>
      </c>
      <c r="G48" s="1" t="n">
        <f aca="false">C48*PI()*((B48/PI()/100)^2)/4</f>
        <v>0.0366692988883727</v>
      </c>
      <c r="H48" s="1" t="n">
        <f aca="false">G48/G$126*100</f>
        <v>0.243161671641507</v>
      </c>
      <c r="I48" s="1" t="n">
        <f aca="false">SUM(H$4:H48)</f>
        <v>22.3843036185866</v>
      </c>
      <c r="J48" s="1" t="n">
        <f aca="false">100-I48</f>
        <v>77.6156963814134</v>
      </c>
      <c r="O48" s="3" t="n">
        <v>48</v>
      </c>
      <c r="P48" s="1" t="n">
        <v>77.6156963814134</v>
      </c>
      <c r="Q48" s="1" t="n">
        <v>8.3858764186633</v>
      </c>
      <c r="R48" s="1" t="n">
        <f aca="false">2*O48/PI()</f>
        <v>30.5577490736439</v>
      </c>
    </row>
    <row r="49" customFormat="false" ht="14.25" hidden="false" customHeight="false" outlineLevel="0" collapsed="false">
      <c r="B49" s="3" t="n">
        <v>49</v>
      </c>
      <c r="C49" s="1" t="n">
        <v>1</v>
      </c>
      <c r="D49" s="1" t="n">
        <f aca="false">SUM(C$4:C49)</f>
        <v>1454</v>
      </c>
      <c r="E49" s="1" t="n">
        <f aca="false">D49/C$126*100</f>
        <v>91.6771752837327</v>
      </c>
      <c r="F49" s="1" t="n">
        <f aca="false">100-E49</f>
        <v>8.32282471626733</v>
      </c>
      <c r="G49" s="1" t="n">
        <f aca="false">C49*PI()*((B49/PI()/100)^2)/4</f>
        <v>0.019106550918182</v>
      </c>
      <c r="H49" s="1" t="n">
        <f aca="false">G49/G$126*100</f>
        <v>0.126699473439943</v>
      </c>
      <c r="I49" s="1" t="n">
        <f aca="false">SUM(H$4:H49)</f>
        <v>22.5110030920265</v>
      </c>
      <c r="J49" s="1" t="n">
        <f aca="false">100-I49</f>
        <v>77.4889969079735</v>
      </c>
      <c r="O49" s="3" t="n">
        <v>49</v>
      </c>
      <c r="P49" s="1" t="n">
        <v>77.4889969079735</v>
      </c>
      <c r="Q49" s="1" t="n">
        <v>8.32282471626733</v>
      </c>
      <c r="R49" s="1" t="n">
        <f aca="false">2*O49/PI()</f>
        <v>31.1943688460115</v>
      </c>
    </row>
    <row r="50" customFormat="false" ht="14.25" hidden="false" customHeight="false" outlineLevel="0" collapsed="false">
      <c r="B50" s="3" t="n">
        <v>50</v>
      </c>
      <c r="C50" s="1" t="n">
        <v>5</v>
      </c>
      <c r="D50" s="1" t="n">
        <f aca="false">SUM(C$4:C50)</f>
        <v>1459</v>
      </c>
      <c r="E50" s="1" t="n">
        <f aca="false">D50/C$126*100</f>
        <v>91.9924337957125</v>
      </c>
      <c r="F50" s="1" t="n">
        <f aca="false">100-E50</f>
        <v>8.00756620428751</v>
      </c>
      <c r="G50" s="1" t="n">
        <f aca="false">C50*PI()*((B50/PI()/100)^2)/4</f>
        <v>0.0994718394324346</v>
      </c>
      <c r="H50" s="1" t="n">
        <f aca="false">G50/G$126*100</f>
        <v>0.659618249895583</v>
      </c>
      <c r="I50" s="1" t="n">
        <f aca="false">SUM(H$4:H50)</f>
        <v>23.1706213419221</v>
      </c>
      <c r="J50" s="1" t="n">
        <f aca="false">100-I50</f>
        <v>76.8293786580779</v>
      </c>
      <c r="O50" s="3" t="n">
        <v>50</v>
      </c>
      <c r="P50" s="1" t="n">
        <v>76.8293786580779</v>
      </c>
      <c r="Q50" s="1" t="n">
        <v>8.00756620428751</v>
      </c>
      <c r="R50" s="1" t="n">
        <f aca="false">2*O50/PI()</f>
        <v>31.8309886183791</v>
      </c>
    </row>
    <row r="51" customFormat="false" ht="14.25" hidden="false" customHeight="false" outlineLevel="0" collapsed="false">
      <c r="B51" s="3" t="n">
        <v>51</v>
      </c>
      <c r="C51" s="1" t="n">
        <v>1</v>
      </c>
      <c r="D51" s="1" t="n">
        <f aca="false">SUM(C$4:C51)</f>
        <v>1460</v>
      </c>
      <c r="E51" s="1" t="n">
        <f aca="false">D51/C$126*100</f>
        <v>92.0554854981085</v>
      </c>
      <c r="F51" s="1" t="n">
        <f aca="false">100-E51</f>
        <v>7.94451450189155</v>
      </c>
      <c r="G51" s="1" t="n">
        <f aca="false">C51*PI()*((B51/PI()/100)^2)/4</f>
        <v>0.020698100349101</v>
      </c>
      <c r="H51" s="1" t="n">
        <f aca="false">G51/G$126*100</f>
        <v>0.137253365438273</v>
      </c>
      <c r="I51" s="1" t="n">
        <f aca="false">SUM(H$4:H51)</f>
        <v>23.3078747073604</v>
      </c>
      <c r="J51" s="1" t="n">
        <f aca="false">100-I51</f>
        <v>76.6921252926396</v>
      </c>
      <c r="O51" s="3" t="n">
        <v>51</v>
      </c>
      <c r="P51" s="1" t="n">
        <v>76.6921252926396</v>
      </c>
      <c r="Q51" s="1" t="n">
        <v>7.94451450189155</v>
      </c>
      <c r="R51" s="1" t="n">
        <f aca="false">2*O51/PI()</f>
        <v>32.4676083907467</v>
      </c>
    </row>
    <row r="52" customFormat="false" ht="14.25" hidden="false" customHeight="false" outlineLevel="0" collapsed="false">
      <c r="B52" s="3" t="n">
        <v>52</v>
      </c>
      <c r="C52" s="1" t="n">
        <v>4</v>
      </c>
      <c r="D52" s="1" t="n">
        <f aca="false">SUM(C$4:C52)</f>
        <v>1464</v>
      </c>
      <c r="E52" s="1" t="n">
        <f aca="false">D52/C$126*100</f>
        <v>92.3076923076923</v>
      </c>
      <c r="F52" s="1" t="n">
        <f aca="false">100-E52</f>
        <v>7.69230769230769</v>
      </c>
      <c r="G52" s="1" t="n">
        <f aca="false">C52*PI()*((B52/PI()/100)^2)/4</f>
        <v>0.086070993224097</v>
      </c>
      <c r="H52" s="1" t="n">
        <f aca="false">G52/G$126*100</f>
        <v>0.57075447926965</v>
      </c>
      <c r="I52" s="1" t="n">
        <f aca="false">SUM(H$4:H52)</f>
        <v>23.87862918663</v>
      </c>
      <c r="J52" s="1" t="n">
        <f aca="false">100-I52</f>
        <v>76.12137081337</v>
      </c>
      <c r="O52" s="3" t="n">
        <v>52</v>
      </c>
      <c r="P52" s="1" t="n">
        <v>76.12137081337</v>
      </c>
      <c r="Q52" s="1" t="n">
        <v>7.69230769230769</v>
      </c>
      <c r="R52" s="1" t="n">
        <f aca="false">2*O52/PI()</f>
        <v>33.1042281631142</v>
      </c>
    </row>
    <row r="53" customFormat="false" ht="14.25" hidden="false" customHeight="false" outlineLevel="0" collapsed="false">
      <c r="B53" s="3" t="n">
        <v>53</v>
      </c>
      <c r="C53" s="1" t="n">
        <v>5</v>
      </c>
      <c r="D53" s="1" t="n">
        <f aca="false">SUM(C$4:C53)</f>
        <v>1469</v>
      </c>
      <c r="E53" s="1" t="n">
        <f aca="false">D53/C$126*100</f>
        <v>92.6229508196721</v>
      </c>
      <c r="F53" s="1" t="n">
        <f aca="false">100-E53</f>
        <v>7.37704918032787</v>
      </c>
      <c r="G53" s="1" t="n">
        <f aca="false">C53*PI()*((B53/PI()/100)^2)/4</f>
        <v>0.111766558786284</v>
      </c>
      <c r="H53" s="1" t="n">
        <f aca="false">G53/G$126*100</f>
        <v>0.741147065582676</v>
      </c>
      <c r="I53" s="1" t="n">
        <f aca="false">SUM(H$4:H53)</f>
        <v>24.6197762522127</v>
      </c>
      <c r="J53" s="1" t="n">
        <f aca="false">100-I53</f>
        <v>75.3802237477873</v>
      </c>
      <c r="O53" s="3" t="n">
        <v>53</v>
      </c>
      <c r="P53" s="1" t="n">
        <v>75.3802237477873</v>
      </c>
      <c r="Q53" s="1" t="n">
        <v>7.37704918032787</v>
      </c>
      <c r="R53" s="1" t="n">
        <f aca="false">2*O53/PI()</f>
        <v>33.7408479354818</v>
      </c>
    </row>
    <row r="54" customFormat="false" ht="14.25" hidden="false" customHeight="false" outlineLevel="0" collapsed="false">
      <c r="B54" s="3" t="n">
        <v>54</v>
      </c>
      <c r="C54" s="1" t="n">
        <v>2</v>
      </c>
      <c r="D54" s="1" t="n">
        <f aca="false">SUM(C$4:C54)</f>
        <v>1471</v>
      </c>
      <c r="E54" s="1" t="n">
        <f aca="false">D54/C$126*100</f>
        <v>92.7490542244641</v>
      </c>
      <c r="F54" s="1" t="n">
        <f aca="false">100-E54</f>
        <v>7.25094577553594</v>
      </c>
      <c r="G54" s="1" t="n">
        <f aca="false">C54*PI()*((B54/PI()/100)^2)/4</f>
        <v>0.0464095814055967</v>
      </c>
      <c r="H54" s="1" t="n">
        <f aca="false">G54/G$126*100</f>
        <v>0.307751490671283</v>
      </c>
      <c r="I54" s="1" t="n">
        <f aca="false">SUM(H$4:H54)</f>
        <v>24.927527742884</v>
      </c>
      <c r="J54" s="1" t="n">
        <f aca="false">100-I54</f>
        <v>75.072472257116</v>
      </c>
      <c r="O54" s="3" t="n">
        <v>54</v>
      </c>
      <c r="P54" s="1" t="n">
        <v>75.072472257116</v>
      </c>
      <c r="Q54" s="1" t="n">
        <v>7.25094577553594</v>
      </c>
      <c r="R54" s="1" t="n">
        <f aca="false">2*O54/PI()</f>
        <v>34.3774677078494</v>
      </c>
    </row>
    <row r="55" customFormat="false" ht="14.25" hidden="false" customHeight="false" outlineLevel="0" collapsed="false">
      <c r="B55" s="3" t="n">
        <v>55</v>
      </c>
      <c r="C55" s="1" t="n">
        <v>2</v>
      </c>
      <c r="D55" s="1" t="n">
        <f aca="false">SUM(C$4:C55)</f>
        <v>1473</v>
      </c>
      <c r="E55" s="1" t="n">
        <f aca="false">D55/C$126*100</f>
        <v>92.875157629256</v>
      </c>
      <c r="F55" s="1" t="n">
        <f aca="false">100-E55</f>
        <v>7.12484237074401</v>
      </c>
      <c r="G55" s="1" t="n">
        <f aca="false">C55*PI()*((B55/PI()/100)^2)/4</f>
        <v>0.0481443702852983</v>
      </c>
      <c r="H55" s="1" t="n">
        <f aca="false">G55/G$126*100</f>
        <v>0.319255232949462</v>
      </c>
      <c r="I55" s="1" t="n">
        <f aca="false">SUM(H$4:H55)</f>
        <v>25.2467829758334</v>
      </c>
      <c r="J55" s="1" t="n">
        <f aca="false">100-I55</f>
        <v>74.7532170241666</v>
      </c>
      <c r="O55" s="3" t="n">
        <v>55</v>
      </c>
      <c r="P55" s="1" t="n">
        <v>74.7532170241666</v>
      </c>
      <c r="Q55" s="1" t="n">
        <v>7.12484237074401</v>
      </c>
      <c r="R55" s="1" t="n">
        <f aca="false">2*O55/PI()</f>
        <v>35.014087480217</v>
      </c>
    </row>
    <row r="56" customFormat="false" ht="14.25" hidden="false" customHeight="false" outlineLevel="0" collapsed="false">
      <c r="B56" s="3" t="n">
        <v>56</v>
      </c>
      <c r="C56" s="1" t="n">
        <v>2</v>
      </c>
      <c r="D56" s="1" t="n">
        <f aca="false">SUM(C$4:C56)</f>
        <v>1475</v>
      </c>
      <c r="E56" s="1" t="n">
        <f aca="false">D56/C$126*100</f>
        <v>93.0012610340479</v>
      </c>
      <c r="F56" s="1" t="n">
        <f aca="false">100-E56</f>
        <v>6.99873896595207</v>
      </c>
      <c r="G56" s="1" t="n">
        <f aca="false">C56*PI()*((B56/PI()/100)^2)/4</f>
        <v>0.0499109901536184</v>
      </c>
      <c r="H56" s="1" t="n">
        <f aca="false">G56/G$126*100</f>
        <v>0.330970053067608</v>
      </c>
      <c r="I56" s="1" t="n">
        <f aca="false">SUM(H$4:H56)</f>
        <v>25.577753028901</v>
      </c>
      <c r="J56" s="1" t="n">
        <f aca="false">100-I56</f>
        <v>74.422246971099</v>
      </c>
      <c r="O56" s="3" t="n">
        <v>56</v>
      </c>
      <c r="P56" s="1" t="n">
        <v>74.422246971099</v>
      </c>
      <c r="Q56" s="1" t="n">
        <v>6.99873896595207</v>
      </c>
      <c r="R56" s="1" t="n">
        <f aca="false">2*O56/PI()</f>
        <v>35.6507072525846</v>
      </c>
    </row>
    <row r="57" customFormat="false" ht="14.25" hidden="false" customHeight="false" outlineLevel="0" collapsed="false">
      <c r="B57" s="3" t="n">
        <v>58</v>
      </c>
      <c r="C57" s="1" t="n">
        <v>1</v>
      </c>
      <c r="D57" s="1" t="n">
        <f aca="false">SUM(C$4:C57)</f>
        <v>1476</v>
      </c>
      <c r="E57" s="1" t="n">
        <f aca="false">D57/C$126*100</f>
        <v>93.0643127364439</v>
      </c>
      <c r="F57" s="1" t="n">
        <f aca="false">100-E57</f>
        <v>6.93568726355611</v>
      </c>
      <c r="G57" s="1" t="n">
        <f aca="false">C57*PI()*((B57/PI()/100)^2)/4</f>
        <v>0.0267698614280568</v>
      </c>
      <c r="H57" s="1" t="n">
        <f aca="false">G57/G$126*100</f>
        <v>0.177516463411899</v>
      </c>
      <c r="I57" s="1" t="n">
        <f aca="false">SUM(H$4:H57)</f>
        <v>25.7552694923129</v>
      </c>
      <c r="J57" s="1" t="n">
        <f aca="false">100-I57</f>
        <v>74.2447305076871</v>
      </c>
      <c r="O57" s="3" t="n">
        <v>58</v>
      </c>
      <c r="P57" s="1" t="n">
        <v>74.2447305076871</v>
      </c>
      <c r="Q57" s="1" t="n">
        <v>6.93568726355611</v>
      </c>
      <c r="R57" s="1" t="n">
        <f aca="false">2*O57/PI()</f>
        <v>36.9239467973197</v>
      </c>
    </row>
    <row r="58" customFormat="false" ht="14.25" hidden="false" customHeight="false" outlineLevel="0" collapsed="false">
      <c r="B58" s="3" t="n">
        <v>59</v>
      </c>
      <c r="C58" s="1" t="n">
        <v>2</v>
      </c>
      <c r="D58" s="1" t="n">
        <f aca="false">SUM(C$4:C58)</f>
        <v>1478</v>
      </c>
      <c r="E58" s="1" t="n">
        <f aca="false">D58/C$126*100</f>
        <v>93.1904161412358</v>
      </c>
      <c r="F58" s="1" t="n">
        <f aca="false">100-E58</f>
        <v>6.80958385876419</v>
      </c>
      <c r="G58" s="1" t="n">
        <f aca="false">C58*PI()*((B58/PI()/100)^2)/4</f>
        <v>0.0554018356902888</v>
      </c>
      <c r="H58" s="1" t="n">
        <f aca="false">G58/G$126*100</f>
        <v>0.367380980461844</v>
      </c>
      <c r="I58" s="1" t="n">
        <f aca="false">SUM(H$4:H58)</f>
        <v>26.1226504727748</v>
      </c>
      <c r="J58" s="1" t="n">
        <f aca="false">100-I58</f>
        <v>73.8773495272252</v>
      </c>
      <c r="O58" s="3" t="n">
        <v>59</v>
      </c>
      <c r="P58" s="1" t="n">
        <v>73.8773495272252</v>
      </c>
      <c r="Q58" s="1" t="n">
        <v>6.80958385876419</v>
      </c>
      <c r="R58" s="1" t="n">
        <f aca="false">2*O58/PI()</f>
        <v>37.5605665696873</v>
      </c>
    </row>
    <row r="59" customFormat="false" ht="14.25" hidden="false" customHeight="false" outlineLevel="0" collapsed="false">
      <c r="B59" s="3" t="n">
        <v>60</v>
      </c>
      <c r="C59" s="1" t="n">
        <v>3</v>
      </c>
      <c r="D59" s="1" t="n">
        <f aca="false">SUM(C$4:C59)</f>
        <v>1481</v>
      </c>
      <c r="E59" s="1" t="n">
        <f aca="false">D59/C$126*100</f>
        <v>93.3795712484237</v>
      </c>
      <c r="F59" s="1" t="n">
        <f aca="false">100-E59</f>
        <v>6.62042875157628</v>
      </c>
      <c r="G59" s="1" t="n">
        <f aca="false">C59*PI()*((B59/PI()/100)^2)/4</f>
        <v>0.0859436692696235</v>
      </c>
      <c r="H59" s="1" t="n">
        <f aca="false">G59/G$126*100</f>
        <v>0.569910167909783</v>
      </c>
      <c r="I59" s="1" t="n">
        <f aca="false">SUM(H$4:H59)</f>
        <v>26.6925606406846</v>
      </c>
      <c r="J59" s="1" t="n">
        <f aca="false">100-I59</f>
        <v>73.3074393593154</v>
      </c>
      <c r="O59" s="3" t="n">
        <v>60</v>
      </c>
      <c r="P59" s="1" t="n">
        <v>73.3074393593154</v>
      </c>
      <c r="Q59" s="1" t="n">
        <v>6.62042875157628</v>
      </c>
      <c r="R59" s="1" t="n">
        <f aca="false">2*O59/PI()</f>
        <v>38.1971863420549</v>
      </c>
    </row>
    <row r="60" customFormat="false" ht="14.25" hidden="false" customHeight="false" outlineLevel="0" collapsed="false">
      <c r="B60" s="3" t="n">
        <v>61</v>
      </c>
      <c r="C60" s="1" t="n">
        <v>1</v>
      </c>
      <c r="D60" s="1" t="n">
        <f aca="false">SUM(C$4:C60)</f>
        <v>1482</v>
      </c>
      <c r="E60" s="1" t="n">
        <f aca="false">D60/C$126*100</f>
        <v>93.4426229508197</v>
      </c>
      <c r="F60" s="1" t="n">
        <f aca="false">100-E60</f>
        <v>6.55737704918032</v>
      </c>
      <c r="G60" s="1" t="n">
        <f aca="false">C60*PI()*((B60/PI()/100)^2)/4</f>
        <v>0.0296107771622471</v>
      </c>
      <c r="H60" s="1" t="n">
        <f aca="false">G60/G$126*100</f>
        <v>0.196355160628917</v>
      </c>
      <c r="I60" s="1" t="n">
        <f aca="false">SUM(H$4:H60)</f>
        <v>26.8889158013135</v>
      </c>
      <c r="J60" s="1" t="n">
        <f aca="false">100-I60</f>
        <v>73.1110841986865</v>
      </c>
      <c r="O60" s="3" t="n">
        <v>61</v>
      </c>
      <c r="P60" s="1" t="n">
        <v>73.1110841986865</v>
      </c>
      <c r="Q60" s="1" t="n">
        <v>6.55737704918032</v>
      </c>
      <c r="R60" s="1" t="n">
        <f aca="false">2*O60/PI()</f>
        <v>38.8338061144225</v>
      </c>
    </row>
    <row r="61" customFormat="false" ht="14.25" hidden="false" customHeight="false" outlineLevel="0" collapsed="false">
      <c r="B61" s="3" t="n">
        <v>63</v>
      </c>
      <c r="C61" s="1" t="n">
        <v>2</v>
      </c>
      <c r="D61" s="1" t="n">
        <f aca="false">SUM(C$4:C61)</f>
        <v>1484</v>
      </c>
      <c r="E61" s="1" t="n">
        <f aca="false">D61/C$126*100</f>
        <v>93.5687263556116</v>
      </c>
      <c r="F61" s="1" t="n">
        <f aca="false">100-E61</f>
        <v>6.4312736443884</v>
      </c>
      <c r="G61" s="1" t="n">
        <f aca="false">C61*PI()*((B61/PI()/100)^2)/4</f>
        <v>0.0631685969131733</v>
      </c>
      <c r="H61" s="1" t="n">
        <f aca="false">G61/G$126*100</f>
        <v>0.418883973413691</v>
      </c>
      <c r="I61" s="1" t="n">
        <f aca="false">SUM(H$4:H61)</f>
        <v>27.3077997747272</v>
      </c>
      <c r="J61" s="1" t="n">
        <f aca="false">100-I61</f>
        <v>72.6922002252728</v>
      </c>
      <c r="O61" s="3" t="n">
        <v>63</v>
      </c>
      <c r="P61" s="1" t="n">
        <v>72.6922002252728</v>
      </c>
      <c r="Q61" s="1" t="n">
        <v>6.4312736443884</v>
      </c>
      <c r="R61" s="1" t="n">
        <f aca="false">2*O61/PI()</f>
        <v>40.1070456591576</v>
      </c>
    </row>
    <row r="62" customFormat="false" ht="14.25" hidden="false" customHeight="false" outlineLevel="0" collapsed="false">
      <c r="B62" s="3" t="n">
        <v>64</v>
      </c>
      <c r="C62" s="1" t="n">
        <v>2</v>
      </c>
      <c r="D62" s="1" t="n">
        <f aca="false">SUM(C$4:C62)</f>
        <v>1486</v>
      </c>
      <c r="E62" s="1" t="n">
        <f aca="false">D62/C$126*100</f>
        <v>93.6948297604035</v>
      </c>
      <c r="F62" s="1" t="n">
        <f aca="false">100-E62</f>
        <v>6.30517023959646</v>
      </c>
      <c r="G62" s="1" t="n">
        <f aca="false">C62*PI()*((B62/PI()/100)^2)/4</f>
        <v>0.0651898646904403</v>
      </c>
      <c r="H62" s="1" t="n">
        <f aca="false">G62/G$126*100</f>
        <v>0.432287416251569</v>
      </c>
      <c r="I62" s="1" t="n">
        <f aca="false">SUM(H$4:H62)</f>
        <v>27.7400871909787</v>
      </c>
      <c r="J62" s="1" t="n">
        <f aca="false">100-I62</f>
        <v>72.2599128090213</v>
      </c>
      <c r="O62" s="3" t="n">
        <v>64</v>
      </c>
      <c r="P62" s="1" t="n">
        <v>72.2599128090213</v>
      </c>
      <c r="Q62" s="1" t="n">
        <v>6.30517023959646</v>
      </c>
      <c r="R62" s="1" t="n">
        <f aca="false">2*O62/PI()</f>
        <v>40.7436654315252</v>
      </c>
    </row>
    <row r="63" customFormat="false" ht="14.25" hidden="false" customHeight="false" outlineLevel="0" collapsed="false">
      <c r="B63" s="3" t="n">
        <v>65</v>
      </c>
      <c r="C63" s="1" t="n">
        <v>3</v>
      </c>
      <c r="D63" s="1" t="n">
        <f aca="false">SUM(C$4:C63)</f>
        <v>1489</v>
      </c>
      <c r="E63" s="1" t="n">
        <f aca="false">D63/C$126*100</f>
        <v>93.8839848675914</v>
      </c>
      <c r="F63" s="1" t="n">
        <f aca="false">100-E63</f>
        <v>6.11601513240856</v>
      </c>
      <c r="G63" s="1" t="n">
        <f aca="false">C63*PI()*((B63/PI()/100)^2)/4</f>
        <v>0.100864445184489</v>
      </c>
      <c r="H63" s="1" t="n">
        <f aca="false">G63/G$126*100</f>
        <v>0.668852905394121</v>
      </c>
      <c r="I63" s="1" t="n">
        <f aca="false">SUM(H$4:H63)</f>
        <v>28.4089400963729</v>
      </c>
      <c r="J63" s="1" t="n">
        <f aca="false">100-I63</f>
        <v>71.5910599036271</v>
      </c>
      <c r="O63" s="3" t="n">
        <v>65</v>
      </c>
      <c r="P63" s="1" t="n">
        <v>71.5910599036271</v>
      </c>
      <c r="Q63" s="1" t="n">
        <v>6.11601513240856</v>
      </c>
      <c r="R63" s="1" t="n">
        <f aca="false">2*O63/PI()</f>
        <v>41.3802852038928</v>
      </c>
    </row>
    <row r="64" customFormat="false" ht="14.25" hidden="false" customHeight="false" outlineLevel="0" collapsed="false">
      <c r="B64" s="3" t="n">
        <v>66</v>
      </c>
      <c r="C64" s="1" t="n">
        <v>1</v>
      </c>
      <c r="D64" s="1" t="n">
        <f aca="false">SUM(C$4:C64)</f>
        <v>1490</v>
      </c>
      <c r="E64" s="1" t="n">
        <f aca="false">D64/C$126*100</f>
        <v>93.9470365699874</v>
      </c>
      <c r="F64" s="1" t="n">
        <f aca="false">100-E64</f>
        <v>6.05296343001261</v>
      </c>
      <c r="G64" s="1" t="n">
        <f aca="false">C64*PI()*((B64/PI()/100)^2)/4</f>
        <v>0.0346639466054148</v>
      </c>
      <c r="H64" s="1" t="n">
        <f aca="false">G64/G$126*100</f>
        <v>0.229863767723613</v>
      </c>
      <c r="I64" s="1" t="n">
        <f aca="false">SUM(H$4:H64)</f>
        <v>28.6388038640965</v>
      </c>
      <c r="J64" s="1" t="n">
        <f aca="false">100-I64</f>
        <v>71.3611961359035</v>
      </c>
      <c r="O64" s="3" t="n">
        <v>66</v>
      </c>
      <c r="P64" s="1" t="n">
        <v>71.3611961359035</v>
      </c>
      <c r="Q64" s="1" t="n">
        <v>6.05296343001261</v>
      </c>
      <c r="R64" s="1" t="n">
        <f aca="false">2*O64/PI()</f>
        <v>42.0169049762604</v>
      </c>
    </row>
    <row r="65" customFormat="false" ht="14.25" hidden="false" customHeight="false" outlineLevel="0" collapsed="false">
      <c r="B65" s="3" t="n">
        <v>67</v>
      </c>
      <c r="C65" s="1" t="n">
        <v>3</v>
      </c>
      <c r="D65" s="1" t="n">
        <f aca="false">SUM(C$4:C65)</f>
        <v>1493</v>
      </c>
      <c r="E65" s="1" t="n">
        <f aca="false">D65/C$126*100</f>
        <v>94.1361916771753</v>
      </c>
      <c r="F65" s="1" t="n">
        <f aca="false">100-E65</f>
        <v>5.86380832282471</v>
      </c>
      <c r="G65" s="1" t="n">
        <f aca="false">C65*PI()*((B65/PI()/100)^2)/4</f>
        <v>0.107166980930928</v>
      </c>
      <c r="H65" s="1" t="n">
        <f aca="false">G65/G$126*100</f>
        <v>0.710646317707505</v>
      </c>
      <c r="I65" s="1" t="n">
        <f aca="false">SUM(H$4:H65)</f>
        <v>29.349450181804</v>
      </c>
      <c r="J65" s="1" t="n">
        <f aca="false">100-I65</f>
        <v>70.650549818196</v>
      </c>
      <c r="O65" s="3" t="n">
        <v>67</v>
      </c>
      <c r="P65" s="1" t="n">
        <v>70.650549818196</v>
      </c>
      <c r="Q65" s="1" t="n">
        <v>5.86380832282471</v>
      </c>
      <c r="R65" s="1" t="n">
        <f aca="false">2*O65/PI()</f>
        <v>42.653524748628</v>
      </c>
    </row>
    <row r="66" customFormat="false" ht="14.25" hidden="false" customHeight="false" outlineLevel="0" collapsed="false">
      <c r="B66" s="3" t="n">
        <v>68</v>
      </c>
      <c r="C66" s="1" t="n">
        <v>1</v>
      </c>
      <c r="D66" s="1" t="n">
        <f aca="false">SUM(C$4:C66)</f>
        <v>1494</v>
      </c>
      <c r="E66" s="1" t="n">
        <f aca="false">D66/C$126*100</f>
        <v>94.1992433795713</v>
      </c>
      <c r="F66" s="1" t="n">
        <f aca="false">100-E66</f>
        <v>5.80075662042874</v>
      </c>
      <c r="G66" s="1" t="n">
        <f aca="false">C66*PI()*((B66/PI()/100)^2)/4</f>
        <v>0.0367966228428462</v>
      </c>
      <c r="H66" s="1" t="n">
        <f aca="false">G66/G$126*100</f>
        <v>0.244005983001374</v>
      </c>
      <c r="I66" s="1" t="n">
        <f aca="false">SUM(H$4:H66)</f>
        <v>29.5934561648054</v>
      </c>
      <c r="J66" s="1" t="n">
        <f aca="false">100-I66</f>
        <v>70.4065438351946</v>
      </c>
      <c r="O66" s="3" t="n">
        <v>68</v>
      </c>
      <c r="P66" s="1" t="n">
        <v>70.4065438351946</v>
      </c>
      <c r="Q66" s="1" t="n">
        <v>5.80075662042874</v>
      </c>
      <c r="R66" s="1" t="n">
        <f aca="false">2*O66/PI()</f>
        <v>43.2901445209955</v>
      </c>
    </row>
    <row r="67" customFormat="false" ht="14.25" hidden="false" customHeight="false" outlineLevel="0" collapsed="false">
      <c r="B67" s="3" t="n">
        <v>69</v>
      </c>
      <c r="C67" s="1" t="n">
        <v>1</v>
      </c>
      <c r="D67" s="1" t="n">
        <f aca="false">SUM(C$4:C67)</f>
        <v>1495</v>
      </c>
      <c r="E67" s="1" t="n">
        <f aca="false">D67/C$126*100</f>
        <v>94.2622950819672</v>
      </c>
      <c r="F67" s="1" t="n">
        <f aca="false">100-E67</f>
        <v>5.73770491803278</v>
      </c>
      <c r="G67" s="1" t="n">
        <f aca="false">C67*PI()*((B67/PI()/100)^2)/4</f>
        <v>0.0378868342030257</v>
      </c>
      <c r="H67" s="1" t="n">
        <f aca="false">G67/G$126*100</f>
        <v>0.251235399020229</v>
      </c>
      <c r="I67" s="1" t="n">
        <f aca="false">SUM(H$4:H67)</f>
        <v>29.8446915638256</v>
      </c>
      <c r="J67" s="1" t="n">
        <f aca="false">100-I67</f>
        <v>70.1553084361744</v>
      </c>
      <c r="O67" s="3" t="n">
        <v>69</v>
      </c>
      <c r="P67" s="1" t="n">
        <v>70.1553084361744</v>
      </c>
      <c r="Q67" s="1" t="n">
        <v>5.73770491803278</v>
      </c>
      <c r="R67" s="1" t="n">
        <f aca="false">2*O67/PI()</f>
        <v>43.9267642933631</v>
      </c>
    </row>
    <row r="68" customFormat="false" ht="14.25" hidden="false" customHeight="false" outlineLevel="0" collapsed="false">
      <c r="B68" s="3" t="n">
        <v>70</v>
      </c>
      <c r="C68" s="1" t="n">
        <v>4</v>
      </c>
      <c r="D68" s="1" t="n">
        <f aca="false">SUM(C$4:C68)</f>
        <v>1499</v>
      </c>
      <c r="E68" s="1" t="n">
        <f aca="false">D68/C$126*100</f>
        <v>94.5145018915511</v>
      </c>
      <c r="F68" s="1" t="n">
        <f aca="false">100-E68</f>
        <v>5.48549810844892</v>
      </c>
      <c r="G68" s="1" t="n">
        <f aca="false">C68*PI()*((B68/PI()/100)^2)/4</f>
        <v>0.155971844230057</v>
      </c>
      <c r="H68" s="1" t="n">
        <f aca="false">G68/G$126*100</f>
        <v>1.03428141583627</v>
      </c>
      <c r="I68" s="1" t="n">
        <f aca="false">SUM(H$4:H68)</f>
        <v>30.8789729796619</v>
      </c>
      <c r="J68" s="1" t="n">
        <f aca="false">100-I68</f>
        <v>69.1210270203382</v>
      </c>
      <c r="O68" s="3" t="n">
        <v>70</v>
      </c>
      <c r="P68" s="1" t="n">
        <v>69.1210270203382</v>
      </c>
      <c r="Q68" s="1" t="n">
        <v>5.48549810844892</v>
      </c>
      <c r="R68" s="1" t="n">
        <f aca="false">2*O68/PI()</f>
        <v>44.5633840657307</v>
      </c>
    </row>
    <row r="69" customFormat="false" ht="14.25" hidden="false" customHeight="false" outlineLevel="0" collapsed="false">
      <c r="B69" s="3" t="n">
        <v>71</v>
      </c>
      <c r="C69" s="1" t="n">
        <v>2</v>
      </c>
      <c r="D69" s="1" t="n">
        <f aca="false">SUM(C$4:C69)</f>
        <v>1501</v>
      </c>
      <c r="E69" s="1" t="n">
        <f aca="false">D69/C$126*100</f>
        <v>94.640605296343</v>
      </c>
      <c r="F69" s="1" t="n">
        <f aca="false">100-E69</f>
        <v>5.35939470365699</v>
      </c>
      <c r="G69" s="1" t="n">
        <f aca="false">C69*PI()*((B69/PI()/100)^2)/4</f>
        <v>0.0802300068126244</v>
      </c>
      <c r="H69" s="1" t="n">
        <f aca="false">G69/G$126*100</f>
        <v>0.532021695635781</v>
      </c>
      <c r="I69" s="1" t="n">
        <f aca="false">SUM(H$4:H69)</f>
        <v>31.4109946752976</v>
      </c>
      <c r="J69" s="1" t="n">
        <f aca="false">100-I69</f>
        <v>68.5890053247024</v>
      </c>
      <c r="O69" s="3" t="n">
        <v>71</v>
      </c>
      <c r="P69" s="1" t="n">
        <v>68.5890053247024</v>
      </c>
      <c r="Q69" s="1" t="n">
        <v>5.35939470365699</v>
      </c>
      <c r="R69" s="1" t="n">
        <f aca="false">2*O69/PI()</f>
        <v>45.2000038380983</v>
      </c>
    </row>
    <row r="70" customFormat="false" ht="14.25" hidden="false" customHeight="false" outlineLevel="0" collapsed="false">
      <c r="B70" s="3" t="n">
        <v>72</v>
      </c>
      <c r="C70" s="1" t="n">
        <v>1</v>
      </c>
      <c r="D70" s="1" t="n">
        <f aca="false">SUM(C$4:C70)</f>
        <v>1502</v>
      </c>
      <c r="E70" s="1" t="n">
        <f aca="false">D70/C$126*100</f>
        <v>94.703656998739</v>
      </c>
      <c r="F70" s="1" t="n">
        <f aca="false">100-E70</f>
        <v>5.29634300126104</v>
      </c>
      <c r="G70" s="1" t="n">
        <f aca="false">C70*PI()*((B70/PI()/100)^2)/4</f>
        <v>0.0412529612494193</v>
      </c>
      <c r="H70" s="1" t="n">
        <f aca="false">G70/G$126*100</f>
        <v>0.273556880596696</v>
      </c>
      <c r="I70" s="1" t="n">
        <f aca="false">SUM(H$4:H70)</f>
        <v>31.6845515558943</v>
      </c>
      <c r="J70" s="1" t="n">
        <f aca="false">100-I70</f>
        <v>68.3154484441057</v>
      </c>
      <c r="O70" s="3" t="n">
        <v>72</v>
      </c>
      <c r="P70" s="1" t="n">
        <v>68.3154484441057</v>
      </c>
      <c r="Q70" s="1" t="n">
        <v>5.29634300126104</v>
      </c>
      <c r="R70" s="1" t="n">
        <f aca="false">2*O70/PI()</f>
        <v>45.8366236104659</v>
      </c>
    </row>
    <row r="71" customFormat="false" ht="14.25" hidden="false" customHeight="false" outlineLevel="0" collapsed="false">
      <c r="B71" s="3" t="n">
        <v>73</v>
      </c>
      <c r="C71" s="1" t="n">
        <v>2</v>
      </c>
      <c r="D71" s="1" t="n">
        <f aca="false">SUM(C$4:C71)</f>
        <v>1504</v>
      </c>
      <c r="E71" s="1" t="n">
        <f aca="false">D71/C$126*100</f>
        <v>94.8297604035309</v>
      </c>
      <c r="F71" s="1" t="n">
        <f aca="false">100-E71</f>
        <v>5.1702395964691</v>
      </c>
      <c r="G71" s="1" t="n">
        <f aca="false">C71*PI()*((B71/PI()/100)^2)/4</f>
        <v>0.084813669173671</v>
      </c>
      <c r="H71" s="1" t="n">
        <f aca="false">G71/G$126*100</f>
        <v>0.56241690459097</v>
      </c>
      <c r="I71" s="1" t="n">
        <f aca="false">SUM(H$4:H71)</f>
        <v>32.2469684604853</v>
      </c>
      <c r="J71" s="1" t="n">
        <f aca="false">100-I71</f>
        <v>67.7530315395147</v>
      </c>
      <c r="O71" s="3" t="n">
        <v>73</v>
      </c>
      <c r="P71" s="1" t="n">
        <v>67.7530315395147</v>
      </c>
      <c r="Q71" s="1" t="n">
        <v>5.1702395964691</v>
      </c>
      <c r="R71" s="1" t="n">
        <f aca="false">2*O71/PI()</f>
        <v>46.4732433828334</v>
      </c>
    </row>
    <row r="72" customFormat="false" ht="14.25" hidden="false" customHeight="false" outlineLevel="0" collapsed="false">
      <c r="B72" s="3" t="n">
        <v>74</v>
      </c>
      <c r="C72" s="1" t="n">
        <v>1</v>
      </c>
      <c r="D72" s="1" t="n">
        <f aca="false">SUM(C$4:C72)</f>
        <v>1505</v>
      </c>
      <c r="E72" s="1" t="n">
        <f aca="false">D72/C$126*100</f>
        <v>94.8928121059269</v>
      </c>
      <c r="F72" s="1" t="n">
        <f aca="false">100-E72</f>
        <v>5.10718789407314</v>
      </c>
      <c r="G72" s="1" t="n">
        <f aca="false">C72*PI()*((B72/PI()/100)^2)/4</f>
        <v>0.0435766234185609</v>
      </c>
      <c r="H72" s="1" t="n">
        <f aca="false">G72/G$126*100</f>
        <v>0.288965562914257</v>
      </c>
      <c r="I72" s="1" t="n">
        <f aca="false">SUM(H$4:H72)</f>
        <v>32.5359340233996</v>
      </c>
      <c r="J72" s="1" t="n">
        <f aca="false">100-I72</f>
        <v>67.4640659766004</v>
      </c>
      <c r="O72" s="3" t="n">
        <v>74</v>
      </c>
      <c r="P72" s="1" t="n">
        <v>67.4640659766004</v>
      </c>
      <c r="Q72" s="1" t="n">
        <v>5.10718789407314</v>
      </c>
      <c r="R72" s="1" t="n">
        <f aca="false">2*O72/PI()</f>
        <v>47.109863155201</v>
      </c>
    </row>
    <row r="73" customFormat="false" ht="14.25" hidden="false" customHeight="false" outlineLevel="0" collapsed="false">
      <c r="B73" s="3" t="n">
        <v>75</v>
      </c>
      <c r="C73" s="1" t="n">
        <v>2</v>
      </c>
      <c r="D73" s="1" t="n">
        <f aca="false">SUM(C$4:C73)</f>
        <v>1507</v>
      </c>
      <c r="E73" s="1" t="n">
        <f aca="false">D73/C$126*100</f>
        <v>95.0189155107188</v>
      </c>
      <c r="F73" s="1" t="n">
        <f aca="false">100-E73</f>
        <v>4.9810844892812</v>
      </c>
      <c r="G73" s="1" t="n">
        <f aca="false">C73*PI()*((B73/PI()/100)^2)/4</f>
        <v>0.0895246554891911</v>
      </c>
      <c r="H73" s="1" t="n">
        <f aca="false">G73/G$126*100</f>
        <v>0.593656424906024</v>
      </c>
      <c r="I73" s="1" t="n">
        <f aca="false">SUM(H$4:H73)</f>
        <v>33.1295904483056</v>
      </c>
      <c r="J73" s="1" t="n">
        <f aca="false">100-I73</f>
        <v>66.8704095516944</v>
      </c>
      <c r="O73" s="3" t="n">
        <v>75</v>
      </c>
      <c r="P73" s="1" t="n">
        <v>66.8704095516944</v>
      </c>
      <c r="Q73" s="1" t="n">
        <v>4.9810844892812</v>
      </c>
      <c r="R73" s="1" t="n">
        <f aca="false">2*O73/PI()</f>
        <v>47.7464829275686</v>
      </c>
    </row>
    <row r="74" customFormat="false" ht="14.25" hidden="false" customHeight="false" outlineLevel="0" collapsed="false">
      <c r="B74" s="3" t="n">
        <v>77</v>
      </c>
      <c r="C74" s="1" t="n">
        <v>1</v>
      </c>
      <c r="D74" s="1" t="n">
        <f aca="false">SUM(C$4:C74)</f>
        <v>1508</v>
      </c>
      <c r="E74" s="1" t="n">
        <f aca="false">D74/C$126*100</f>
        <v>95.0819672131148</v>
      </c>
      <c r="F74" s="1" t="n">
        <f aca="false">100-E74</f>
        <v>4.91803278688525</v>
      </c>
      <c r="G74" s="1" t="n">
        <f aca="false">C74*PI()*((B74/PI()/100)^2)/4</f>
        <v>0.0471814828795924</v>
      </c>
      <c r="H74" s="1" t="n">
        <f aca="false">G74/G$126*100</f>
        <v>0.312870128290473</v>
      </c>
      <c r="I74" s="1" t="n">
        <f aca="false">SUM(H$4:H74)</f>
        <v>33.4424605765961</v>
      </c>
      <c r="J74" s="1" t="n">
        <f aca="false">100-I74</f>
        <v>66.557539423404</v>
      </c>
      <c r="O74" s="3" t="n">
        <v>77</v>
      </c>
      <c r="P74" s="1" t="n">
        <v>66.557539423404</v>
      </c>
      <c r="Q74" s="1" t="n">
        <v>4.91803278688525</v>
      </c>
      <c r="R74" s="1" t="n">
        <f aca="false">2*O74/PI()</f>
        <v>49.0197224723038</v>
      </c>
    </row>
    <row r="75" customFormat="false" ht="14.25" hidden="false" customHeight="false" outlineLevel="0" collapsed="false">
      <c r="B75" s="3" t="n">
        <v>78</v>
      </c>
      <c r="C75" s="1" t="n">
        <v>1</v>
      </c>
      <c r="D75" s="1" t="n">
        <f aca="false">SUM(C$4:C75)</f>
        <v>1509</v>
      </c>
      <c r="E75" s="1" t="n">
        <f aca="false">D75/C$126*100</f>
        <v>95.1450189155107</v>
      </c>
      <c r="F75" s="1" t="n">
        <f aca="false">100-E75</f>
        <v>4.85498108448928</v>
      </c>
      <c r="G75" s="1" t="n">
        <f aca="false">C75*PI()*((B75/PI()/100)^2)/4</f>
        <v>0.0484149336885546</v>
      </c>
      <c r="H75" s="1" t="n">
        <f aca="false">G75/G$126*100</f>
        <v>0.321049394589178</v>
      </c>
      <c r="I75" s="1" t="n">
        <f aca="false">SUM(H$4:H75)</f>
        <v>33.7635099711852</v>
      </c>
      <c r="J75" s="1" t="n">
        <f aca="false">100-I75</f>
        <v>66.2364900288148</v>
      </c>
      <c r="O75" s="3" t="n">
        <v>78</v>
      </c>
      <c r="P75" s="1" t="n">
        <v>66.2364900288148</v>
      </c>
      <c r="Q75" s="1" t="n">
        <v>4.85498108448928</v>
      </c>
      <c r="R75" s="1" t="n">
        <f aca="false">2*O75/PI()</f>
        <v>49.6563422446713</v>
      </c>
    </row>
    <row r="76" customFormat="false" ht="14.25" hidden="false" customHeight="false" outlineLevel="0" collapsed="false">
      <c r="B76" s="3" t="n">
        <v>80</v>
      </c>
      <c r="C76" s="1" t="n">
        <v>4</v>
      </c>
      <c r="D76" s="1" t="n">
        <f aca="false">SUM(C$4:C76)</f>
        <v>1513</v>
      </c>
      <c r="E76" s="1" t="n">
        <f aca="false">D76/C$126*100</f>
        <v>95.3972257250946</v>
      </c>
      <c r="F76" s="1" t="n">
        <f aca="false">100-E76</f>
        <v>4.60277427490541</v>
      </c>
      <c r="G76" s="1" t="n">
        <f aca="false">C76*PI()*((B76/PI()/100)^2)/4</f>
        <v>0.203718327157626</v>
      </c>
      <c r="H76" s="1" t="n">
        <f aca="false">G76/G$126*100</f>
        <v>1.35089817578615</v>
      </c>
      <c r="I76" s="1" t="n">
        <f aca="false">SUM(H$4:H76)</f>
        <v>35.1144081469714</v>
      </c>
      <c r="J76" s="1" t="n">
        <f aca="false">100-I76</f>
        <v>64.8855918530286</v>
      </c>
      <c r="O76" s="3" t="n">
        <v>80</v>
      </c>
      <c r="P76" s="1" t="n">
        <v>64.8855918530286</v>
      </c>
      <c r="Q76" s="1" t="n">
        <v>4.60277427490541</v>
      </c>
      <c r="R76" s="1" t="n">
        <f aca="false">2*O76/PI()</f>
        <v>50.9295817894065</v>
      </c>
    </row>
    <row r="77" customFormat="false" ht="14.25" hidden="false" customHeight="false" outlineLevel="0" collapsed="false">
      <c r="B77" s="3" t="n">
        <v>81</v>
      </c>
      <c r="C77" s="1" t="n">
        <v>4</v>
      </c>
      <c r="D77" s="1" t="n">
        <f aca="false">SUM(C$4:C77)</f>
        <v>1517</v>
      </c>
      <c r="E77" s="1" t="n">
        <f aca="false">D77/C$126*100</f>
        <v>95.6494325346784</v>
      </c>
      <c r="F77" s="1" t="n">
        <f aca="false">100-E77</f>
        <v>4.35056746532156</v>
      </c>
      <c r="G77" s="1" t="n">
        <f aca="false">C77*PI()*((B77/PI()/100)^2)/4</f>
        <v>0.208843116325185</v>
      </c>
      <c r="H77" s="1" t="n">
        <f aca="false">G77/G$126*100</f>
        <v>1.38488170802077</v>
      </c>
      <c r="I77" s="1" t="n">
        <f aca="false">SUM(H$4:H77)</f>
        <v>36.4992898549922</v>
      </c>
      <c r="J77" s="1" t="n">
        <f aca="false">100-I77</f>
        <v>63.5007101450078</v>
      </c>
      <c r="O77" s="3" t="n">
        <v>81</v>
      </c>
      <c r="P77" s="1" t="n">
        <v>63.5007101450078</v>
      </c>
      <c r="Q77" s="1" t="n">
        <v>4.35056746532156</v>
      </c>
      <c r="R77" s="1" t="n">
        <f aca="false">2*O77/PI()</f>
        <v>51.5662015617741</v>
      </c>
    </row>
    <row r="78" customFormat="false" ht="14.25" hidden="false" customHeight="false" outlineLevel="0" collapsed="false">
      <c r="B78" s="3" t="n">
        <v>82</v>
      </c>
      <c r="C78" s="1" t="n">
        <v>2</v>
      </c>
      <c r="D78" s="1" t="n">
        <f aca="false">SUM(C$4:C78)</f>
        <v>1519</v>
      </c>
      <c r="E78" s="1" t="n">
        <f aca="false">D78/C$126*100</f>
        <v>95.7755359394704</v>
      </c>
      <c r="F78" s="1" t="n">
        <f aca="false">100-E78</f>
        <v>4.22446406052963</v>
      </c>
      <c r="G78" s="1" t="n">
        <f aca="false">C78*PI()*((B78/PI()/100)^2)/4</f>
        <v>0.10701578373499</v>
      </c>
      <c r="H78" s="1" t="n">
        <f aca="false">G78/G$126*100</f>
        <v>0.709643697967663</v>
      </c>
      <c r="I78" s="1" t="n">
        <f aca="false">SUM(H$4:H78)</f>
        <v>37.2089335529598</v>
      </c>
      <c r="J78" s="1" t="n">
        <f aca="false">100-I78</f>
        <v>62.7910664470402</v>
      </c>
      <c r="O78" s="3" t="n">
        <v>82</v>
      </c>
      <c r="P78" s="1" t="n">
        <v>62.7910664470402</v>
      </c>
      <c r="Q78" s="1" t="n">
        <v>4.22446406052963</v>
      </c>
      <c r="R78" s="1" t="n">
        <f aca="false">2*O78/PI()</f>
        <v>52.2028213341417</v>
      </c>
    </row>
    <row r="79" customFormat="false" ht="14.25" hidden="false" customHeight="false" outlineLevel="0" collapsed="false">
      <c r="B79" s="3" t="n">
        <v>83</v>
      </c>
      <c r="C79" s="1" t="n">
        <v>3</v>
      </c>
      <c r="D79" s="1" t="n">
        <f aca="false">SUM(C$4:C79)</f>
        <v>1522</v>
      </c>
      <c r="E79" s="1" t="n">
        <f aca="false">D79/C$126*100</f>
        <v>95.9646910466583</v>
      </c>
      <c r="F79" s="1" t="n">
        <f aca="false">100-E79</f>
        <v>4.03530895334174</v>
      </c>
      <c r="G79" s="1" t="n">
        <f aca="false">C79*PI()*((B79/PI()/100)^2)/4</f>
        <v>0.16446276044401</v>
      </c>
      <c r="H79" s="1" t="n">
        <f aca="false">G79/G$126*100</f>
        <v>1.09058642964736</v>
      </c>
      <c r="I79" s="1" t="n">
        <f aca="false">SUM(H$4:H79)</f>
        <v>38.2995199826072</v>
      </c>
      <c r="J79" s="1" t="n">
        <f aca="false">100-I79</f>
        <v>61.7004800173928</v>
      </c>
      <c r="O79" s="3" t="n">
        <v>83</v>
      </c>
      <c r="P79" s="1" t="n">
        <v>61.7004800173928</v>
      </c>
      <c r="Q79" s="1" t="n">
        <v>4.03530895334174</v>
      </c>
      <c r="R79" s="1" t="n">
        <f aca="false">2*O79/PI()</f>
        <v>52.8394411065093</v>
      </c>
    </row>
    <row r="80" customFormat="false" ht="14.25" hidden="false" customHeight="false" outlineLevel="0" collapsed="false">
      <c r="B80" s="3" t="n">
        <v>84</v>
      </c>
      <c r="C80" s="1" t="n">
        <v>1</v>
      </c>
      <c r="D80" s="1" t="n">
        <f aca="false">SUM(C$4:C80)</f>
        <v>1523</v>
      </c>
      <c r="E80" s="1" t="n">
        <f aca="false">D80/C$126*100</f>
        <v>96.0277427490542</v>
      </c>
      <c r="F80" s="1" t="n">
        <f aca="false">100-E80</f>
        <v>3.97225725094577</v>
      </c>
      <c r="G80" s="1" t="n">
        <f aca="false">C80*PI()*((B80/PI()/100)^2)/4</f>
        <v>0.0561498639228207</v>
      </c>
      <c r="H80" s="1" t="n">
        <f aca="false">G80/G$126*100</f>
        <v>0.372341309701058</v>
      </c>
      <c r="I80" s="1" t="n">
        <f aca="false">SUM(H$4:H80)</f>
        <v>38.6718612923082</v>
      </c>
      <c r="J80" s="1" t="n">
        <f aca="false">100-I80</f>
        <v>61.3281387076918</v>
      </c>
      <c r="O80" s="3" t="n">
        <v>84</v>
      </c>
      <c r="P80" s="1" t="n">
        <v>61.3281387076918</v>
      </c>
      <c r="Q80" s="1" t="n">
        <v>3.97225725094577</v>
      </c>
      <c r="R80" s="1" t="n">
        <f aca="false">2*O80/PI()</f>
        <v>53.4760608788768</v>
      </c>
    </row>
    <row r="81" customFormat="false" ht="14.25" hidden="false" customHeight="false" outlineLevel="0" collapsed="false">
      <c r="B81" s="3" t="n">
        <v>85</v>
      </c>
      <c r="C81" s="1" t="n">
        <v>2</v>
      </c>
      <c r="D81" s="1" t="n">
        <f aca="false">SUM(C$4:C81)</f>
        <v>1525</v>
      </c>
      <c r="E81" s="1" t="n">
        <f aca="false">D81/C$126*100</f>
        <v>96.1538461538462</v>
      </c>
      <c r="F81" s="1" t="n">
        <f aca="false">100-E81</f>
        <v>3.84615384615384</v>
      </c>
      <c r="G81" s="1" t="n">
        <f aca="false">C81*PI()*((B81/PI()/100)^2)/4</f>
        <v>0.114989446383894</v>
      </c>
      <c r="H81" s="1" t="n">
        <f aca="false">G81/G$126*100</f>
        <v>0.762518696879293</v>
      </c>
      <c r="I81" s="1" t="n">
        <f aca="false">SUM(H$4:H81)</f>
        <v>39.4343799891875</v>
      </c>
      <c r="J81" s="1" t="n">
        <f aca="false">100-I81</f>
        <v>60.5656200108125</v>
      </c>
      <c r="O81" s="3" t="n">
        <v>85</v>
      </c>
      <c r="P81" s="1" t="n">
        <v>60.5656200108125</v>
      </c>
      <c r="Q81" s="1" t="n">
        <v>3.84615384615384</v>
      </c>
      <c r="R81" s="1" t="n">
        <f aca="false">2*O81/PI()</f>
        <v>54.1126806512444</v>
      </c>
    </row>
    <row r="82" customFormat="false" ht="14.25" hidden="false" customHeight="false" outlineLevel="0" collapsed="false">
      <c r="B82" s="3" t="n">
        <v>87</v>
      </c>
      <c r="C82" s="1" t="n">
        <v>2</v>
      </c>
      <c r="D82" s="1" t="n">
        <f aca="false">SUM(C$4:C82)</f>
        <v>1527</v>
      </c>
      <c r="E82" s="1" t="n">
        <f aca="false">D82/C$126*100</f>
        <v>96.2799495586381</v>
      </c>
      <c r="F82" s="1" t="n">
        <f aca="false">100-E82</f>
        <v>3.72005044136192</v>
      </c>
      <c r="G82" s="1" t="n">
        <f aca="false">C82*PI()*((B82/PI()/100)^2)/4</f>
        <v>0.120464376426256</v>
      </c>
      <c r="H82" s="1" t="n">
        <f aca="false">G82/G$126*100</f>
        <v>0.798824085353546</v>
      </c>
      <c r="I82" s="1" t="n">
        <f aca="false">SUM(H$4:H82)</f>
        <v>40.2332040745411</v>
      </c>
      <c r="J82" s="1" t="n">
        <f aca="false">100-I82</f>
        <v>59.7667959254589</v>
      </c>
      <c r="O82" s="3" t="n">
        <v>87</v>
      </c>
      <c r="P82" s="1" t="n">
        <v>59.7667959254589</v>
      </c>
      <c r="Q82" s="1" t="n">
        <v>3.72005044136192</v>
      </c>
      <c r="R82" s="1" t="n">
        <f aca="false">2*O82/PI()</f>
        <v>55.3859201959796</v>
      </c>
    </row>
    <row r="83" customFormat="false" ht="14.25" hidden="false" customHeight="false" outlineLevel="0" collapsed="false">
      <c r="B83" s="3" t="n">
        <v>88</v>
      </c>
      <c r="C83" s="1" t="n">
        <v>1</v>
      </c>
      <c r="D83" s="1" t="n">
        <f aca="false">SUM(C$4:C83)</f>
        <v>1528</v>
      </c>
      <c r="E83" s="1" t="n">
        <f aca="false">D83/C$126*100</f>
        <v>96.3430012610341</v>
      </c>
      <c r="F83" s="1" t="n">
        <f aca="false">100-E83</f>
        <v>3.65699873896595</v>
      </c>
      <c r="G83" s="1" t="n">
        <f aca="false">C83*PI()*((B83/PI()/100)^2)/4</f>
        <v>0.0616247939651819</v>
      </c>
      <c r="H83" s="1" t="n">
        <f aca="false">G83/G$126*100</f>
        <v>0.408646698175311</v>
      </c>
      <c r="I83" s="1" t="n">
        <f aca="false">SUM(H$4:H83)</f>
        <v>40.6418507727164</v>
      </c>
      <c r="J83" s="1" t="n">
        <f aca="false">100-I83</f>
        <v>59.3581492272836</v>
      </c>
      <c r="O83" s="3" t="n">
        <v>88</v>
      </c>
      <c r="P83" s="1" t="n">
        <v>59.3581492272836</v>
      </c>
      <c r="Q83" s="1" t="n">
        <v>3.65699873896595</v>
      </c>
      <c r="R83" s="1" t="n">
        <f aca="false">2*O83/PI()</f>
        <v>56.0225399683472</v>
      </c>
    </row>
    <row r="84" customFormat="false" ht="14.25" hidden="false" customHeight="false" outlineLevel="0" collapsed="false">
      <c r="B84" s="3" t="n">
        <v>89</v>
      </c>
      <c r="C84" s="1" t="n">
        <v>1</v>
      </c>
      <c r="D84" s="1" t="n">
        <f aca="false">SUM(C$4:C84)</f>
        <v>1529</v>
      </c>
      <c r="E84" s="1" t="n">
        <f aca="false">D84/C$126*100</f>
        <v>96.40605296343</v>
      </c>
      <c r="F84" s="1" t="n">
        <f aca="false">100-E84</f>
        <v>3.59394703656999</v>
      </c>
      <c r="G84" s="1" t="n">
        <f aca="false">C84*PI()*((B84/PI()/100)^2)/4</f>
        <v>0.0630333152115451</v>
      </c>
      <c r="H84" s="1" t="n">
        <f aca="false">G84/G$126*100</f>
        <v>0.417986892593833</v>
      </c>
      <c r="I84" s="1" t="n">
        <f aca="false">SUM(H$4:H84)</f>
        <v>41.0598376653102</v>
      </c>
      <c r="J84" s="1" t="n">
        <f aca="false">100-I84</f>
        <v>58.9401623346898</v>
      </c>
      <c r="O84" s="3" t="n">
        <v>89</v>
      </c>
      <c r="P84" s="1" t="n">
        <v>58.9401623346898</v>
      </c>
      <c r="Q84" s="1" t="n">
        <v>3.59394703656999</v>
      </c>
      <c r="R84" s="1" t="n">
        <f aca="false">2*O84/PI()</f>
        <v>56.6591597407147</v>
      </c>
    </row>
    <row r="85" customFormat="false" ht="14.25" hidden="false" customHeight="false" outlineLevel="0" collapsed="false">
      <c r="B85" s="3" t="n">
        <v>90</v>
      </c>
      <c r="C85" s="1" t="n">
        <v>2</v>
      </c>
      <c r="D85" s="1" t="n">
        <f aca="false">SUM(C$4:C85)</f>
        <v>1531</v>
      </c>
      <c r="E85" s="1" t="n">
        <f aca="false">D85/C$126*100</f>
        <v>96.532156368222</v>
      </c>
      <c r="F85" s="1" t="n">
        <f aca="false">100-E85</f>
        <v>3.46784363177805</v>
      </c>
      <c r="G85" s="1" t="n">
        <f aca="false">C85*PI()*((B85/PI()/100)^2)/4</f>
        <v>0.128915503904435</v>
      </c>
      <c r="H85" s="1" t="n">
        <f aca="false">G85/G$126*100</f>
        <v>0.854865251864675</v>
      </c>
      <c r="I85" s="1" t="n">
        <f aca="false">SUM(H$4:H85)</f>
        <v>41.9147029171749</v>
      </c>
      <c r="J85" s="1" t="n">
        <f aca="false">100-I85</f>
        <v>58.0852970828251</v>
      </c>
      <c r="O85" s="3" t="n">
        <v>90</v>
      </c>
      <c r="P85" s="1" t="n">
        <v>58.0852970828251</v>
      </c>
      <c r="Q85" s="1" t="n">
        <v>3.46784363177805</v>
      </c>
      <c r="R85" s="1" t="n">
        <f aca="false">2*O85/PI()</f>
        <v>57.2957795130823</v>
      </c>
    </row>
    <row r="86" customFormat="false" ht="14.25" hidden="false" customHeight="false" outlineLevel="0" collapsed="false">
      <c r="B86" s="3" t="n">
        <v>91</v>
      </c>
      <c r="C86" s="1" t="n">
        <v>1</v>
      </c>
      <c r="D86" s="1" t="n">
        <f aca="false">SUM(C$4:C86)</f>
        <v>1532</v>
      </c>
      <c r="E86" s="1" t="n">
        <f aca="false">D86/C$126*100</f>
        <v>96.5952080706179</v>
      </c>
      <c r="F86" s="1" t="n">
        <f aca="false">100-E86</f>
        <v>3.40479192938209</v>
      </c>
      <c r="G86" s="1" t="n">
        <f aca="false">C86*PI()*((B86/PI()/100)^2)/4</f>
        <v>0.0658981041871993</v>
      </c>
      <c r="H86" s="1" t="n">
        <f aca="false">G86/G$126*100</f>
        <v>0.436983898190826</v>
      </c>
      <c r="I86" s="1" t="n">
        <f aca="false">SUM(H$4:H86)</f>
        <v>42.3516868153657</v>
      </c>
      <c r="J86" s="1" t="n">
        <f aca="false">100-I86</f>
        <v>57.6483131846343</v>
      </c>
      <c r="O86" s="3" t="n">
        <v>91</v>
      </c>
      <c r="P86" s="1" t="n">
        <v>57.6483131846343</v>
      </c>
      <c r="Q86" s="1" t="n">
        <v>3.40479192938209</v>
      </c>
      <c r="R86" s="1" t="n">
        <f aca="false">2*O86/PI()</f>
        <v>57.9323992854499</v>
      </c>
    </row>
    <row r="87" customFormat="false" ht="14.25" hidden="false" customHeight="false" outlineLevel="0" collapsed="false">
      <c r="B87" s="3" t="n">
        <v>92</v>
      </c>
      <c r="C87" s="1" t="n">
        <v>1</v>
      </c>
      <c r="D87" s="1" t="n">
        <f aca="false">SUM(C$4:C87)</f>
        <v>1533</v>
      </c>
      <c r="E87" s="1" t="n">
        <f aca="false">D87/C$126*100</f>
        <v>96.6582597730139</v>
      </c>
      <c r="F87" s="1" t="n">
        <f aca="false">100-E87</f>
        <v>3.34174022698613</v>
      </c>
      <c r="G87" s="1" t="n">
        <f aca="false">C87*PI()*((B87/PI()/100)^2)/4</f>
        <v>0.0673543719164901</v>
      </c>
      <c r="H87" s="1" t="n">
        <f aca="false">G87/G$126*100</f>
        <v>0.446640709369297</v>
      </c>
      <c r="I87" s="1" t="n">
        <f aca="false">SUM(H$4:H87)</f>
        <v>42.798327524735</v>
      </c>
      <c r="J87" s="1" t="n">
        <f aca="false">100-I87</f>
        <v>57.201672475265</v>
      </c>
      <c r="O87" s="3" t="n">
        <v>92</v>
      </c>
      <c r="P87" s="1" t="n">
        <v>57.201672475265</v>
      </c>
      <c r="Q87" s="1" t="n">
        <v>3.34174022698613</v>
      </c>
      <c r="R87" s="1" t="n">
        <f aca="false">2*O87/PI()</f>
        <v>58.5690190578175</v>
      </c>
    </row>
    <row r="88" customFormat="false" ht="14.25" hidden="false" customHeight="false" outlineLevel="0" collapsed="false">
      <c r="B88" s="3" t="n">
        <v>93</v>
      </c>
      <c r="C88" s="1" t="n">
        <v>2</v>
      </c>
      <c r="D88" s="1" t="n">
        <f aca="false">SUM(C$4:C88)</f>
        <v>1535</v>
      </c>
      <c r="E88" s="1" t="n">
        <f aca="false">D88/C$126*100</f>
        <v>96.7843631778058</v>
      </c>
      <c r="F88" s="1" t="n">
        <f aca="false">100-E88</f>
        <v>3.2156368221942</v>
      </c>
      <c r="G88" s="1" t="n">
        <f aca="false">C88*PI()*((B88/PI()/100)^2)/4</f>
        <v>0.13765311028018</v>
      </c>
      <c r="H88" s="1" t="n">
        <f aca="false">G88/G$126*100</f>
        <v>0.912806118935503</v>
      </c>
      <c r="I88" s="1" t="n">
        <f aca="false">SUM(H$4:H88)</f>
        <v>43.7111336436705</v>
      </c>
      <c r="J88" s="1" t="n">
        <f aca="false">100-I88</f>
        <v>56.2888663563295</v>
      </c>
      <c r="O88" s="3" t="n">
        <v>93</v>
      </c>
      <c r="P88" s="1" t="n">
        <v>56.2888663563295</v>
      </c>
      <c r="Q88" s="1" t="n">
        <v>3.2156368221942</v>
      </c>
      <c r="R88" s="1" t="n">
        <f aca="false">2*O88/PI()</f>
        <v>59.2056388301851</v>
      </c>
    </row>
    <row r="89" customFormat="false" ht="14.25" hidden="false" customHeight="false" outlineLevel="0" collapsed="false">
      <c r="B89" s="3" t="n">
        <v>94</v>
      </c>
      <c r="C89" s="1" t="n">
        <v>1</v>
      </c>
      <c r="D89" s="1" t="n">
        <f aca="false">SUM(C$4:C89)</f>
        <v>1536</v>
      </c>
      <c r="E89" s="1" t="n">
        <f aca="false">D89/C$126*100</f>
        <v>96.8474148802018</v>
      </c>
      <c r="F89" s="1" t="n">
        <f aca="false">100-E89</f>
        <v>3.15258511979823</v>
      </c>
      <c r="G89" s="1" t="n">
        <f aca="false">C89*PI()*((B89/PI()/100)^2)/4</f>
        <v>0.0703146538579994</v>
      </c>
      <c r="H89" s="1" t="n">
        <f aca="false">G89/G$126*100</f>
        <v>0.466270948486189</v>
      </c>
      <c r="I89" s="1" t="n">
        <f aca="false">SUM(H$4:H89)</f>
        <v>44.1774045921567</v>
      </c>
      <c r="J89" s="1" t="n">
        <f aca="false">100-I89</f>
        <v>55.8225954078433</v>
      </c>
      <c r="O89" s="3" t="n">
        <v>94</v>
      </c>
      <c r="P89" s="1" t="n">
        <v>55.8225954078433</v>
      </c>
      <c r="Q89" s="1" t="n">
        <v>3.15258511979823</v>
      </c>
      <c r="R89" s="1" t="n">
        <f aca="false">2*O89/PI()</f>
        <v>59.8422586025527</v>
      </c>
    </row>
    <row r="90" customFormat="false" ht="14.25" hidden="false" customHeight="false" outlineLevel="0" collapsed="false">
      <c r="B90" s="3" t="n">
        <v>95</v>
      </c>
      <c r="C90" s="1" t="n">
        <v>1</v>
      </c>
      <c r="D90" s="1" t="n">
        <f aca="false">SUM(C$4:C90)</f>
        <v>1537</v>
      </c>
      <c r="E90" s="1" t="n">
        <f aca="false">D90/C$126*100</f>
        <v>96.9104665825977</v>
      </c>
      <c r="F90" s="1" t="n">
        <f aca="false">100-E90</f>
        <v>3.08953341740227</v>
      </c>
      <c r="G90" s="1" t="n">
        <f aca="false">C90*PI()*((B90/PI()/100)^2)/4</f>
        <v>0.0718186680702178</v>
      </c>
      <c r="H90" s="1" t="n">
        <f aca="false">G90/G$126*100</f>
        <v>0.476244376424611</v>
      </c>
      <c r="I90" s="1" t="n">
        <f aca="false">SUM(H$4:H90)</f>
        <v>44.6536489685813</v>
      </c>
      <c r="J90" s="1" t="n">
        <f aca="false">100-I90</f>
        <v>55.3463510314187</v>
      </c>
      <c r="O90" s="3" t="n">
        <v>95</v>
      </c>
      <c r="P90" s="1" t="n">
        <v>55.3463510314187</v>
      </c>
      <c r="Q90" s="1" t="n">
        <v>3.08953341740227</v>
      </c>
      <c r="R90" s="1" t="n">
        <f aca="false">2*O90/PI()</f>
        <v>60.4788783749202</v>
      </c>
    </row>
    <row r="91" customFormat="false" ht="14.25" hidden="false" customHeight="false" outlineLevel="0" collapsed="false">
      <c r="B91" s="3" t="n">
        <v>97</v>
      </c>
      <c r="C91" s="1" t="n">
        <v>1</v>
      </c>
      <c r="D91" s="1" t="n">
        <f aca="false">SUM(C$4:C91)</f>
        <v>1538</v>
      </c>
      <c r="E91" s="1" t="n">
        <f aca="false">D91/C$126*100</f>
        <v>96.9735182849937</v>
      </c>
      <c r="F91" s="1" t="n">
        <f aca="false">100-E91</f>
        <v>3.0264817150063</v>
      </c>
      <c r="G91" s="1" t="n">
        <f aca="false">C91*PI()*((B91/PI()/100)^2)/4</f>
        <v>0.0748744429775822</v>
      </c>
      <c r="H91" s="1" t="n">
        <f aca="false">G91/G$126*100</f>
        <v>0.496507849061403</v>
      </c>
      <c r="I91" s="1" t="n">
        <f aca="false">SUM(H$4:H91)</f>
        <v>45.1501568176427</v>
      </c>
      <c r="J91" s="1" t="n">
        <f aca="false">100-I91</f>
        <v>54.8498431823573</v>
      </c>
      <c r="O91" s="3" t="n">
        <v>97</v>
      </c>
      <c r="P91" s="1" t="n">
        <v>54.8498431823573</v>
      </c>
      <c r="Q91" s="1" t="n">
        <v>3.0264817150063</v>
      </c>
      <c r="R91" s="1" t="n">
        <f aca="false">2*O91/PI()</f>
        <v>61.7521179196554</v>
      </c>
    </row>
    <row r="92" customFormat="false" ht="14.25" hidden="false" customHeight="false" outlineLevel="0" collapsed="false">
      <c r="B92" s="3" t="n">
        <v>99</v>
      </c>
      <c r="C92" s="1" t="n">
        <v>2</v>
      </c>
      <c r="D92" s="1" t="n">
        <f aca="false">SUM(C$4:C92)</f>
        <v>1540</v>
      </c>
      <c r="E92" s="1" t="n">
        <f aca="false">D92/C$126*100</f>
        <v>97.0996216897856</v>
      </c>
      <c r="F92" s="1" t="n">
        <f aca="false">100-E92</f>
        <v>2.90037831021438</v>
      </c>
      <c r="G92" s="1" t="n">
        <f aca="false">C92*PI()*((B92/PI()/100)^2)/4</f>
        <v>0.155987759724367</v>
      </c>
      <c r="H92" s="1" t="n">
        <f aca="false">G92/G$126*100</f>
        <v>1.03438695475626</v>
      </c>
      <c r="I92" s="1" t="n">
        <f aca="false">SUM(H$4:H92)</f>
        <v>46.184543772399</v>
      </c>
      <c r="J92" s="1" t="n">
        <f aca="false">100-I92</f>
        <v>53.815456227601</v>
      </c>
      <c r="O92" s="3" t="n">
        <v>99</v>
      </c>
      <c r="P92" s="1" t="n">
        <v>53.815456227601</v>
      </c>
      <c r="Q92" s="1" t="n">
        <v>2.90037831021438</v>
      </c>
      <c r="R92" s="1" t="n">
        <f aca="false">2*O92/PI()</f>
        <v>63.0253574643906</v>
      </c>
    </row>
    <row r="93" customFormat="false" ht="14.25" hidden="false" customHeight="false" outlineLevel="0" collapsed="false">
      <c r="B93" s="3" t="n">
        <v>100</v>
      </c>
      <c r="C93" s="1" t="n">
        <v>3</v>
      </c>
      <c r="D93" s="1" t="n">
        <f aca="false">SUM(C$4:C93)</f>
        <v>1543</v>
      </c>
      <c r="E93" s="1" t="n">
        <f aca="false">D93/C$126*100</f>
        <v>97.2887767969735</v>
      </c>
      <c r="F93" s="1" t="n">
        <f aca="false">100-E93</f>
        <v>2.71122320302648</v>
      </c>
      <c r="G93" s="1" t="n">
        <f aca="false">C93*PI()*((B93/PI()/100)^2)/4</f>
        <v>0.238732414637843</v>
      </c>
      <c r="H93" s="1" t="n">
        <f aca="false">G93/G$126*100</f>
        <v>1.5830837997494</v>
      </c>
      <c r="I93" s="1" t="n">
        <f aca="false">SUM(H$4:H93)</f>
        <v>47.7676275721484</v>
      </c>
      <c r="J93" s="1" t="n">
        <f aca="false">100-I93</f>
        <v>52.2323724278516</v>
      </c>
      <c r="O93" s="3" t="n">
        <v>100</v>
      </c>
      <c r="P93" s="1" t="n">
        <v>52.2323724278516</v>
      </c>
      <c r="Q93" s="1" t="n">
        <v>2.71122320302648</v>
      </c>
      <c r="R93" s="1" t="n">
        <f aca="false">2*O93/PI()</f>
        <v>63.6619772367581</v>
      </c>
    </row>
    <row r="94" customFormat="false" ht="14.25" hidden="false" customHeight="false" outlineLevel="0" collapsed="false">
      <c r="B94" s="3" t="n">
        <v>102</v>
      </c>
      <c r="C94" s="1" t="n">
        <v>1</v>
      </c>
      <c r="D94" s="1" t="n">
        <f aca="false">SUM(C$4:C94)</f>
        <v>1544</v>
      </c>
      <c r="E94" s="1" t="n">
        <f aca="false">D94/C$126*100</f>
        <v>97.3518284993695</v>
      </c>
      <c r="F94" s="1" t="n">
        <f aca="false">100-E94</f>
        <v>2.64817150063051</v>
      </c>
      <c r="G94" s="1" t="n">
        <f aca="false">C94*PI()*((B94/PI()/100)^2)/4</f>
        <v>0.082792401396404</v>
      </c>
      <c r="H94" s="1" t="n">
        <f aca="false">G94/G$126*100</f>
        <v>0.549013461753091</v>
      </c>
      <c r="I94" s="1" t="n">
        <f aca="false">SUM(H$4:H94)</f>
        <v>48.3166410339015</v>
      </c>
      <c r="J94" s="1" t="n">
        <f aca="false">100-I94</f>
        <v>51.6833589660985</v>
      </c>
      <c r="O94" s="3" t="n">
        <v>102</v>
      </c>
      <c r="P94" s="1" t="n">
        <v>51.6833589660985</v>
      </c>
      <c r="Q94" s="1" t="n">
        <v>2.64817150063051</v>
      </c>
      <c r="R94" s="1" t="n">
        <f aca="false">2*O94/PI()</f>
        <v>64.9352167814933</v>
      </c>
    </row>
    <row r="95" customFormat="false" ht="14.25" hidden="false" customHeight="false" outlineLevel="0" collapsed="false">
      <c r="B95" s="3" t="n">
        <v>103</v>
      </c>
      <c r="C95" s="1" t="n">
        <v>2</v>
      </c>
      <c r="D95" s="1" t="n">
        <f aca="false">SUM(C$4:C95)</f>
        <v>1546</v>
      </c>
      <c r="E95" s="1" t="n">
        <f aca="false">D95/C$126*100</f>
        <v>97.4779319041614</v>
      </c>
      <c r="F95" s="1" t="n">
        <f aca="false">100-E95</f>
        <v>2.52206809583859</v>
      </c>
      <c r="G95" s="1" t="n">
        <f aca="false">C95*PI()*((B95/PI()/100)^2)/4</f>
        <v>0.168847479126192</v>
      </c>
      <c r="H95" s="1" t="n">
        <f aca="false">G95/G$126*100</f>
        <v>1.11966240210276</v>
      </c>
      <c r="I95" s="1" t="n">
        <f aca="false">SUM(H$4:H95)</f>
        <v>49.4363034360042</v>
      </c>
      <c r="J95" s="1" t="n">
        <f aca="false">100-I95</f>
        <v>50.5636965639958</v>
      </c>
      <c r="O95" s="3" t="n">
        <v>103</v>
      </c>
      <c r="P95" s="1" t="n">
        <v>50.5636965639958</v>
      </c>
      <c r="Q95" s="1" t="n">
        <v>2.52206809583859</v>
      </c>
      <c r="R95" s="1" t="n">
        <f aca="false">2*O95/PI()</f>
        <v>65.5718365538609</v>
      </c>
    </row>
    <row r="96" customFormat="false" ht="14.25" hidden="false" customHeight="false" outlineLevel="0" collapsed="false">
      <c r="B96" s="3" t="n">
        <v>104</v>
      </c>
      <c r="C96" s="1" t="n">
        <v>1</v>
      </c>
      <c r="D96" s="1" t="n">
        <f aca="false">SUM(C$4:C96)</f>
        <v>1547</v>
      </c>
      <c r="E96" s="1" t="n">
        <f aca="false">D96/C$126*100</f>
        <v>97.5409836065574</v>
      </c>
      <c r="F96" s="1" t="n">
        <f aca="false">100-E96</f>
        <v>2.45901639344262</v>
      </c>
      <c r="G96" s="1" t="n">
        <f aca="false">C96*PI()*((B96/PI()/100)^2)/4</f>
        <v>0.086070993224097</v>
      </c>
      <c r="H96" s="1" t="n">
        <f aca="false">G96/G$126*100</f>
        <v>0.57075447926965</v>
      </c>
      <c r="I96" s="1" t="n">
        <f aca="false">SUM(H$4:H96)</f>
        <v>50.0070579152739</v>
      </c>
      <c r="J96" s="1" t="n">
        <f aca="false">100-I96</f>
        <v>49.9929420847261</v>
      </c>
      <c r="O96" s="3" t="n">
        <v>104</v>
      </c>
      <c r="P96" s="1" t="n">
        <v>49.9929420847261</v>
      </c>
      <c r="Q96" s="1" t="n">
        <v>2.45901639344262</v>
      </c>
      <c r="R96" s="1" t="n">
        <f aca="false">2*O96/PI()</f>
        <v>66.2084563262285</v>
      </c>
    </row>
    <row r="97" customFormat="false" ht="14.25" hidden="false" customHeight="false" outlineLevel="0" collapsed="false">
      <c r="B97" s="3" t="n">
        <v>105</v>
      </c>
      <c r="C97" s="1" t="n">
        <v>1</v>
      </c>
      <c r="D97" s="1" t="n">
        <f aca="false">SUM(C$4:C97)</f>
        <v>1548</v>
      </c>
      <c r="E97" s="1" t="n">
        <f aca="false">D97/C$126*100</f>
        <v>97.6040353089533</v>
      </c>
      <c r="F97" s="1" t="n">
        <f aca="false">100-E97</f>
        <v>2.39596469104666</v>
      </c>
      <c r="G97" s="1" t="n">
        <f aca="false">C97*PI()*((B97/PI()/100)^2)/4</f>
        <v>0.0877341623794073</v>
      </c>
      <c r="H97" s="1" t="n">
        <f aca="false">G97/G$126*100</f>
        <v>0.581783296407904</v>
      </c>
      <c r="I97" s="1" t="n">
        <f aca="false">SUM(H$4:H97)</f>
        <v>50.5888412116818</v>
      </c>
      <c r="J97" s="1" t="n">
        <f aca="false">100-I97</f>
        <v>49.4111587883182</v>
      </c>
      <c r="O97" s="3" t="n">
        <v>105</v>
      </c>
      <c r="P97" s="1" t="n">
        <v>49.4111587883182</v>
      </c>
      <c r="Q97" s="1" t="n">
        <v>2.39596469104666</v>
      </c>
      <c r="R97" s="1" t="n">
        <f aca="false">2*O97/PI()</f>
        <v>66.845076098596</v>
      </c>
    </row>
    <row r="98" customFormat="false" ht="14.25" hidden="false" customHeight="false" outlineLevel="0" collapsed="false">
      <c r="B98" s="3" t="n">
        <v>106</v>
      </c>
      <c r="C98" s="1" t="n">
        <v>1</v>
      </c>
      <c r="D98" s="1" t="n">
        <f aca="false">SUM(C$4:C98)</f>
        <v>1549</v>
      </c>
      <c r="E98" s="1" t="n">
        <f aca="false">D98/C$126*100</f>
        <v>97.6670870113493</v>
      </c>
      <c r="F98" s="1" t="n">
        <f aca="false">100-E98</f>
        <v>2.33291298865069</v>
      </c>
      <c r="G98" s="1" t="n">
        <f aca="false">C98*PI()*((B98/PI()/100)^2)/4</f>
        <v>0.0894132470290268</v>
      </c>
      <c r="H98" s="1" t="n">
        <f aca="false">G98/G$126*100</f>
        <v>0.592917652466141</v>
      </c>
      <c r="I98" s="1" t="n">
        <f aca="false">SUM(H$4:H98)</f>
        <v>51.1817588641479</v>
      </c>
      <c r="J98" s="1" t="n">
        <f aca="false">100-I98</f>
        <v>48.8182411358521</v>
      </c>
      <c r="O98" s="3" t="n">
        <v>106</v>
      </c>
      <c r="P98" s="1" t="n">
        <v>48.8182411358521</v>
      </c>
      <c r="Q98" s="1" t="n">
        <v>2.33291298865069</v>
      </c>
      <c r="R98" s="1" t="n">
        <f aca="false">2*O98/PI()</f>
        <v>67.4816958709636</v>
      </c>
    </row>
    <row r="99" customFormat="false" ht="14.25" hidden="false" customHeight="false" outlineLevel="0" collapsed="false">
      <c r="B99" s="3" t="n">
        <v>107</v>
      </c>
      <c r="C99" s="1" t="n">
        <v>1</v>
      </c>
      <c r="D99" s="1" t="n">
        <f aca="false">SUM(C$4:C99)</f>
        <v>1550</v>
      </c>
      <c r="E99" s="1" t="n">
        <f aca="false">D99/C$126*100</f>
        <v>97.7301387137453</v>
      </c>
      <c r="F99" s="1" t="n">
        <f aca="false">100-E99</f>
        <v>2.26986128625472</v>
      </c>
      <c r="G99" s="1" t="n">
        <f aca="false">C99*PI()*((B99/PI()/100)^2)/4</f>
        <v>0.0911082471729555</v>
      </c>
      <c r="H99" s="1" t="n">
        <f aca="false">G99/G$126*100</f>
        <v>0.604157547444362</v>
      </c>
      <c r="I99" s="1" t="n">
        <f aca="false">SUM(H$4:H99)</f>
        <v>51.7859164115923</v>
      </c>
      <c r="J99" s="1" t="n">
        <f aca="false">100-I99</f>
        <v>48.2140835884077</v>
      </c>
      <c r="O99" s="3" t="n">
        <v>107</v>
      </c>
      <c r="P99" s="1" t="n">
        <v>48.2140835884077</v>
      </c>
      <c r="Q99" s="1" t="n">
        <v>2.26986128625472</v>
      </c>
      <c r="R99" s="1" t="n">
        <f aca="false">2*O99/PI()</f>
        <v>68.1183156433312</v>
      </c>
    </row>
    <row r="100" customFormat="false" ht="14.25" hidden="false" customHeight="false" outlineLevel="0" collapsed="false">
      <c r="B100" s="3" t="n">
        <v>109</v>
      </c>
      <c r="C100" s="1" t="n">
        <v>2</v>
      </c>
      <c r="D100" s="1" t="n">
        <f aca="false">SUM(C$4:C100)</f>
        <v>1552</v>
      </c>
      <c r="E100" s="1" t="n">
        <f aca="false">D100/C$126*100</f>
        <v>97.8562421185372</v>
      </c>
      <c r="F100" s="1" t="n">
        <f aca="false">100-E100</f>
        <v>2.1437578814628</v>
      </c>
      <c r="G100" s="1" t="n">
        <f aca="false">C100*PI()*((B100/PI()/100)^2)/4</f>
        <v>0.189091987887481</v>
      </c>
      <c r="H100" s="1" t="n">
        <f aca="false">G100/G$126*100</f>
        <v>1.25390790832151</v>
      </c>
      <c r="I100" s="1" t="n">
        <f aca="false">SUM(H$4:H100)</f>
        <v>53.0398243199138</v>
      </c>
      <c r="J100" s="1" t="n">
        <f aca="false">100-I100</f>
        <v>46.9601756800862</v>
      </c>
      <c r="O100" s="3" t="n">
        <v>109</v>
      </c>
      <c r="P100" s="1" t="n">
        <v>46.9601756800862</v>
      </c>
      <c r="Q100" s="1" t="n">
        <v>2.1437578814628</v>
      </c>
      <c r="R100" s="1" t="n">
        <f aca="false">2*O100/PI()</f>
        <v>69.3915551880664</v>
      </c>
    </row>
    <row r="101" customFormat="false" ht="14.25" hidden="false" customHeight="false" outlineLevel="0" collapsed="false">
      <c r="B101" s="3" t="n">
        <v>110</v>
      </c>
      <c r="C101" s="1" t="n">
        <v>6</v>
      </c>
      <c r="D101" s="1" t="n">
        <f aca="false">SUM(C$4:C101)</f>
        <v>1558</v>
      </c>
      <c r="E101" s="1" t="n">
        <f aca="false">D101/C$126*100</f>
        <v>98.234552332913</v>
      </c>
      <c r="F101" s="1" t="n">
        <f aca="false">100-E101</f>
        <v>1.76544766708702</v>
      </c>
      <c r="G101" s="1" t="n">
        <f aca="false">C101*PI()*((B101/PI()/100)^2)/4</f>
        <v>0.57773244342358</v>
      </c>
      <c r="H101" s="1" t="n">
        <f aca="false">G101/G$126*100</f>
        <v>3.83106279539354</v>
      </c>
      <c r="I101" s="1" t="n">
        <f aca="false">SUM(H$4:H101)</f>
        <v>56.8708871153073</v>
      </c>
      <c r="J101" s="1" t="n">
        <f aca="false">100-I101</f>
        <v>43.1291128846927</v>
      </c>
      <c r="O101" s="3" t="n">
        <v>110</v>
      </c>
      <c r="P101" s="1" t="n">
        <v>43.1291128846927</v>
      </c>
      <c r="Q101" s="1" t="n">
        <v>1.76544766708702</v>
      </c>
      <c r="R101" s="1" t="n">
        <f aca="false">2*O101/PI()</f>
        <v>70.0281749604339</v>
      </c>
    </row>
    <row r="102" customFormat="false" ht="14.25" hidden="false" customHeight="false" outlineLevel="0" collapsed="false">
      <c r="B102" s="3" t="n">
        <v>113</v>
      </c>
      <c r="C102" s="1" t="n">
        <v>2</v>
      </c>
      <c r="D102" s="1" t="n">
        <f aca="false">SUM(C$4:C102)</f>
        <v>1560</v>
      </c>
      <c r="E102" s="1" t="n">
        <f aca="false">D102/C$126*100</f>
        <v>98.3606557377049</v>
      </c>
      <c r="F102" s="1" t="n">
        <f aca="false">100-E102</f>
        <v>1.63934426229508</v>
      </c>
      <c r="G102" s="1" t="n">
        <f aca="false">C102*PI()*((B102/PI()/100)^2)/4</f>
        <v>0.203224946834041</v>
      </c>
      <c r="H102" s="1" t="n">
        <f aca="false">G102/G$126*100</f>
        <v>1.34762646926667</v>
      </c>
      <c r="I102" s="1" t="n">
        <f aca="false">SUM(H$4:H102)</f>
        <v>58.218513584574</v>
      </c>
      <c r="J102" s="1" t="n">
        <f aca="false">100-I102</f>
        <v>41.781486415426</v>
      </c>
      <c r="O102" s="3" t="n">
        <v>113</v>
      </c>
      <c r="P102" s="1" t="n">
        <v>41.781486415426</v>
      </c>
      <c r="Q102" s="1" t="n">
        <v>1.63934426229508</v>
      </c>
      <c r="R102" s="1" t="n">
        <f aca="false">2*O102/PI()</f>
        <v>71.9380342775367</v>
      </c>
    </row>
    <row r="103" customFormat="false" ht="14.25" hidden="false" customHeight="false" outlineLevel="0" collapsed="false">
      <c r="B103" s="3" t="n">
        <v>116</v>
      </c>
      <c r="C103" s="1" t="n">
        <v>1</v>
      </c>
      <c r="D103" s="1" t="n">
        <f aca="false">SUM(C$4:C103)</f>
        <v>1561</v>
      </c>
      <c r="E103" s="1" t="n">
        <f aca="false">D103/C$126*100</f>
        <v>98.4237074401009</v>
      </c>
      <c r="F103" s="1" t="n">
        <f aca="false">100-E103</f>
        <v>1.57629255989912</v>
      </c>
      <c r="G103" s="1" t="n">
        <f aca="false">C103*PI()*((B103/PI()/100)^2)/4</f>
        <v>0.107079445712227</v>
      </c>
      <c r="H103" s="1" t="n">
        <f aca="false">G103/G$126*100</f>
        <v>0.710065853647597</v>
      </c>
      <c r="I103" s="1" t="n">
        <f aca="false">SUM(H$4:H103)</f>
        <v>58.9285794382216</v>
      </c>
      <c r="J103" s="1" t="n">
        <f aca="false">100-I103</f>
        <v>41.0714205617784</v>
      </c>
      <c r="O103" s="3" t="n">
        <v>116</v>
      </c>
      <c r="P103" s="1" t="n">
        <v>41.0714205617784</v>
      </c>
      <c r="Q103" s="1" t="n">
        <v>1.57629255989912</v>
      </c>
      <c r="R103" s="1" t="n">
        <f aca="false">2*O103/PI()</f>
        <v>73.8478935946394</v>
      </c>
    </row>
    <row r="104" customFormat="false" ht="14.25" hidden="false" customHeight="false" outlineLevel="0" collapsed="false">
      <c r="B104" s="3" t="n">
        <v>120</v>
      </c>
      <c r="C104" s="1" t="n">
        <v>1</v>
      </c>
      <c r="D104" s="1" t="n">
        <f aca="false">SUM(C$4:C104)</f>
        <v>1562</v>
      </c>
      <c r="E104" s="1" t="n">
        <f aca="false">D104/C$126*100</f>
        <v>98.4867591424969</v>
      </c>
      <c r="F104" s="1" t="n">
        <f aca="false">100-E104</f>
        <v>1.51324085750315</v>
      </c>
      <c r="G104" s="1" t="n">
        <f aca="false">C104*PI()*((B104/PI()/100)^2)/4</f>
        <v>0.114591559026165</v>
      </c>
      <c r="H104" s="1" t="n">
        <f aca="false">G104/G$126*100</f>
        <v>0.759880223879711</v>
      </c>
      <c r="I104" s="1" t="n">
        <f aca="false">SUM(H$4:H104)</f>
        <v>59.6884596621013</v>
      </c>
      <c r="J104" s="1" t="n">
        <f aca="false">100-I104</f>
        <v>40.3115403378987</v>
      </c>
      <c r="O104" s="3" t="n">
        <v>120</v>
      </c>
      <c r="P104" s="1" t="n">
        <v>40.3115403378987</v>
      </c>
      <c r="Q104" s="1" t="n">
        <v>1.51324085750315</v>
      </c>
      <c r="R104" s="1" t="n">
        <f aca="false">2*O104/PI()</f>
        <v>76.3943726841098</v>
      </c>
    </row>
    <row r="105" customFormat="false" ht="14.25" hidden="false" customHeight="false" outlineLevel="0" collapsed="false">
      <c r="B105" s="3" t="n">
        <v>122</v>
      </c>
      <c r="C105" s="1" t="n">
        <v>1</v>
      </c>
      <c r="D105" s="1" t="n">
        <f aca="false">SUM(C$4:C105)</f>
        <v>1563</v>
      </c>
      <c r="E105" s="1" t="n">
        <f aca="false">D105/C$126*100</f>
        <v>98.5498108448928</v>
      </c>
      <c r="F105" s="1" t="n">
        <f aca="false">100-E105</f>
        <v>1.45018915510718</v>
      </c>
      <c r="G105" s="1" t="n">
        <f aca="false">C105*PI()*((B105/PI()/100)^2)/4</f>
        <v>0.118443108648989</v>
      </c>
      <c r="H105" s="1" t="n">
        <f aca="false">G105/G$126*100</f>
        <v>0.785420642515668</v>
      </c>
      <c r="I105" s="1" t="n">
        <f aca="false">SUM(H$4:H105)</f>
        <v>60.473880304617</v>
      </c>
      <c r="J105" s="1" t="n">
        <f aca="false">100-I105</f>
        <v>39.526119695383</v>
      </c>
      <c r="O105" s="3" t="n">
        <v>122</v>
      </c>
      <c r="P105" s="1" t="n">
        <v>39.526119695383</v>
      </c>
      <c r="Q105" s="1" t="n">
        <v>1.45018915510718</v>
      </c>
      <c r="R105" s="1" t="n">
        <f aca="false">2*O105/PI()</f>
        <v>77.6676122288449</v>
      </c>
    </row>
    <row r="106" customFormat="false" ht="14.25" hidden="false" customHeight="false" outlineLevel="0" collapsed="false">
      <c r="B106" s="3" t="n">
        <v>124</v>
      </c>
      <c r="C106" s="1" t="n">
        <v>1</v>
      </c>
      <c r="D106" s="1" t="n">
        <f aca="false">SUM(C$4:C106)</f>
        <v>1564</v>
      </c>
      <c r="E106" s="1" t="n">
        <f aca="false">D106/C$126*100</f>
        <v>98.6128625472888</v>
      </c>
      <c r="F106" s="1" t="n">
        <f aca="false">100-E106</f>
        <v>1.38713745271122</v>
      </c>
      <c r="G106" s="1" t="n">
        <f aca="false">C106*PI()*((B106/PI()/100)^2)/4</f>
        <v>0.122358320249049</v>
      </c>
      <c r="H106" s="1" t="n">
        <f aca="false">G106/G$126*100</f>
        <v>0.811383216831558</v>
      </c>
      <c r="I106" s="1" t="n">
        <f aca="false">SUM(H$4:H106)</f>
        <v>61.2852635214485</v>
      </c>
      <c r="J106" s="1" t="n">
        <f aca="false">100-I106</f>
        <v>38.7147364785515</v>
      </c>
      <c r="O106" s="3" t="n">
        <v>124</v>
      </c>
      <c r="P106" s="1" t="n">
        <v>38.7147364785515</v>
      </c>
      <c r="Q106" s="1" t="n">
        <v>1.38713745271122</v>
      </c>
      <c r="R106" s="1" t="n">
        <f aca="false">2*O106/PI()</f>
        <v>78.9408517735801</v>
      </c>
    </row>
    <row r="107" customFormat="false" ht="14.25" hidden="false" customHeight="false" outlineLevel="0" collapsed="false">
      <c r="B107" s="3" t="n">
        <v>125</v>
      </c>
      <c r="C107" s="1" t="n">
        <v>1</v>
      </c>
      <c r="D107" s="1" t="n">
        <f aca="false">SUM(C$4:C107)</f>
        <v>1565</v>
      </c>
      <c r="E107" s="1" t="n">
        <f aca="false">D107/C$126*100</f>
        <v>98.6759142496847</v>
      </c>
      <c r="F107" s="1" t="n">
        <f aca="false">100-E107</f>
        <v>1.32408575031526</v>
      </c>
      <c r="G107" s="1" t="n">
        <f aca="false">C107*PI()*((B107/PI()/100)^2)/4</f>
        <v>0.124339799290543</v>
      </c>
      <c r="H107" s="1" t="n">
        <f aca="false">G107/G$126*100</f>
        <v>0.824522812369478</v>
      </c>
      <c r="I107" s="1" t="n">
        <f aca="false">SUM(H$4:H107)</f>
        <v>62.109786333818</v>
      </c>
      <c r="J107" s="1" t="n">
        <f aca="false">100-I107</f>
        <v>37.890213666182</v>
      </c>
      <c r="O107" s="3" t="n">
        <v>125</v>
      </c>
      <c r="P107" s="1" t="n">
        <v>37.890213666182</v>
      </c>
      <c r="Q107" s="1" t="n">
        <v>1.32408575031526</v>
      </c>
      <c r="R107" s="1" t="n">
        <f aca="false">2*O107/PI()</f>
        <v>79.5774715459477</v>
      </c>
    </row>
    <row r="108" customFormat="false" ht="14.25" hidden="false" customHeight="false" outlineLevel="0" collapsed="false">
      <c r="B108" s="3" t="n">
        <v>126</v>
      </c>
      <c r="C108" s="1" t="n">
        <v>1</v>
      </c>
      <c r="D108" s="1" t="n">
        <f aca="false">SUM(C$4:C108)</f>
        <v>1566</v>
      </c>
      <c r="E108" s="1" t="n">
        <f aca="false">D108/C$126*100</f>
        <v>98.7389659520807</v>
      </c>
      <c r="F108" s="1" t="n">
        <f aca="false">100-E108</f>
        <v>1.2610340479193</v>
      </c>
      <c r="G108" s="1" t="n">
        <f aca="false">C108*PI()*((B108/PI()/100)^2)/4</f>
        <v>0.126337193826347</v>
      </c>
      <c r="H108" s="1" t="n">
        <f aca="false">G108/G$126*100</f>
        <v>0.837767946827381</v>
      </c>
      <c r="I108" s="1" t="n">
        <f aca="false">SUM(H$4:H108)</f>
        <v>62.9475542806454</v>
      </c>
      <c r="J108" s="1" t="n">
        <f aca="false">100-I108</f>
        <v>37.0524457193546</v>
      </c>
      <c r="O108" s="3" t="n">
        <v>126</v>
      </c>
      <c r="P108" s="1" t="n">
        <v>37.0524457193546</v>
      </c>
      <c r="Q108" s="1" t="n">
        <v>1.2610340479193</v>
      </c>
      <c r="R108" s="1" t="n">
        <f aca="false">2*O108/PI()</f>
        <v>80.2140913183153</v>
      </c>
    </row>
    <row r="109" customFormat="false" ht="14.25" hidden="false" customHeight="false" outlineLevel="0" collapsed="false">
      <c r="B109" s="3" t="n">
        <v>128</v>
      </c>
      <c r="C109" s="1" t="n">
        <v>1</v>
      </c>
      <c r="D109" s="1" t="n">
        <f aca="false">SUM(C$4:C109)</f>
        <v>1567</v>
      </c>
      <c r="E109" s="1" t="n">
        <f aca="false">D109/C$126*100</f>
        <v>98.8020176544767</v>
      </c>
      <c r="F109" s="1" t="n">
        <f aca="false">100-E109</f>
        <v>1.19798234552333</v>
      </c>
      <c r="G109" s="1" t="n">
        <f aca="false">C109*PI()*((B109/PI()/100)^2)/4</f>
        <v>0.130379729380881</v>
      </c>
      <c r="H109" s="1" t="n">
        <f aca="false">G109/G$126*100</f>
        <v>0.864574832503138</v>
      </c>
      <c r="I109" s="1" t="n">
        <f aca="false">SUM(H$4:H109)</f>
        <v>63.8121291131485</v>
      </c>
      <c r="J109" s="1" t="n">
        <f aca="false">100-I109</f>
        <v>36.1878708868515</v>
      </c>
      <c r="O109" s="3" t="n">
        <v>128</v>
      </c>
      <c r="P109" s="1" t="n">
        <v>36.1878708868515</v>
      </c>
      <c r="Q109" s="1" t="n">
        <v>1.19798234552333</v>
      </c>
      <c r="R109" s="1" t="n">
        <f aca="false">2*O109/PI()</f>
        <v>81.4873308630504</v>
      </c>
    </row>
    <row r="110" customFormat="false" ht="14.25" hidden="false" customHeight="false" outlineLevel="0" collapsed="false">
      <c r="B110" s="3" t="n">
        <v>138</v>
      </c>
      <c r="C110" s="1" t="n">
        <v>2</v>
      </c>
      <c r="D110" s="1" t="n">
        <f aca="false">SUM(C$4:C110)</f>
        <v>1569</v>
      </c>
      <c r="E110" s="1" t="n">
        <f aca="false">D110/C$126*100</f>
        <v>98.9281210592686</v>
      </c>
      <c r="F110" s="1" t="n">
        <f aca="false">100-E110</f>
        <v>1.0718789407314</v>
      </c>
      <c r="G110" s="1" t="n">
        <f aca="false">C110*PI()*((B110/PI()/100)^2)/4</f>
        <v>0.303094673624205</v>
      </c>
      <c r="H110" s="1" t="n">
        <f aca="false">G110/G$126*100</f>
        <v>2.00988319216184</v>
      </c>
      <c r="I110" s="1" t="n">
        <f aca="false">SUM(H$4:H110)</f>
        <v>65.8220123053104</v>
      </c>
      <c r="J110" s="1" t="n">
        <f aca="false">100-I110</f>
        <v>34.1779876946896</v>
      </c>
      <c r="O110" s="3" t="n">
        <v>138</v>
      </c>
      <c r="P110" s="1" t="n">
        <v>34.1779876946896</v>
      </c>
      <c r="Q110" s="1" t="n">
        <v>1.0718789407314</v>
      </c>
      <c r="R110" s="1" t="n">
        <f aca="false">2*O110/PI()</f>
        <v>87.8535285867262</v>
      </c>
    </row>
    <row r="111" customFormat="false" ht="14.25" hidden="false" customHeight="false" outlineLevel="0" collapsed="false">
      <c r="B111" s="3" t="n">
        <v>144</v>
      </c>
      <c r="C111" s="1" t="n">
        <v>2</v>
      </c>
      <c r="D111" s="1" t="n">
        <f aca="false">SUM(C$4:C111)</f>
        <v>1571</v>
      </c>
      <c r="E111" s="1" t="n">
        <f aca="false">D111/C$126*100</f>
        <v>99.0542244640605</v>
      </c>
      <c r="F111" s="1" t="n">
        <f aca="false">100-E111</f>
        <v>0.945775535939475</v>
      </c>
      <c r="G111" s="1" t="n">
        <f aca="false">C111*PI()*((B111/PI()/100)^2)/4</f>
        <v>0.330023689995354</v>
      </c>
      <c r="H111" s="1" t="n">
        <f aca="false">G111/G$126*100</f>
        <v>2.18845504477357</v>
      </c>
      <c r="I111" s="1" t="n">
        <f aca="false">SUM(H$4:H111)</f>
        <v>68.0104673500839</v>
      </c>
      <c r="J111" s="1" t="n">
        <f aca="false">100-I111</f>
        <v>31.9895326499161</v>
      </c>
      <c r="O111" s="3" t="n">
        <v>144</v>
      </c>
      <c r="P111" s="1" t="n">
        <v>31.9895326499161</v>
      </c>
      <c r="Q111" s="1" t="n">
        <v>0.945775535939475</v>
      </c>
      <c r="R111" s="1" t="n">
        <f aca="false">2*O111/PI()</f>
        <v>91.6732472209317</v>
      </c>
    </row>
    <row r="112" customFormat="false" ht="14.25" hidden="false" customHeight="false" outlineLevel="0" collapsed="false">
      <c r="B112" s="3" t="n">
        <v>148</v>
      </c>
      <c r="C112" s="1" t="n">
        <v>1</v>
      </c>
      <c r="D112" s="1" t="n">
        <f aca="false">SUM(C$4:C112)</f>
        <v>1572</v>
      </c>
      <c r="E112" s="1" t="n">
        <f aca="false">D112/C$126*100</f>
        <v>99.1172761664565</v>
      </c>
      <c r="F112" s="1" t="n">
        <f aca="false">100-E112</f>
        <v>0.882723833543508</v>
      </c>
      <c r="G112" s="1" t="n">
        <f aca="false">C112*PI()*((B112/PI()/100)^2)/4</f>
        <v>0.174306493674244</v>
      </c>
      <c r="H112" s="1" t="n">
        <f aca="false">G112/G$126*100</f>
        <v>1.15586225165703</v>
      </c>
      <c r="I112" s="1" t="n">
        <f aca="false">SUM(H$4:H112)</f>
        <v>69.166329601741</v>
      </c>
      <c r="J112" s="1" t="n">
        <f aca="false">100-I112</f>
        <v>30.833670398259</v>
      </c>
      <c r="O112" s="3" t="n">
        <v>148</v>
      </c>
      <c r="P112" s="1" t="n">
        <v>30.833670398259</v>
      </c>
      <c r="Q112" s="1" t="n">
        <v>0.882723833543508</v>
      </c>
      <c r="R112" s="1" t="n">
        <f aca="false">2*O112/PI()</f>
        <v>94.219726310402</v>
      </c>
    </row>
    <row r="113" customFormat="false" ht="14.25" hidden="false" customHeight="false" outlineLevel="0" collapsed="false">
      <c r="B113" s="3" t="n">
        <v>150</v>
      </c>
      <c r="C113" s="1" t="n">
        <v>1</v>
      </c>
      <c r="D113" s="1" t="n">
        <f aca="false">SUM(C$4:C113)</f>
        <v>1573</v>
      </c>
      <c r="E113" s="1" t="n">
        <f aca="false">D113/C$126*100</f>
        <v>99.1803278688525</v>
      </c>
      <c r="F113" s="1" t="n">
        <f aca="false">100-E113</f>
        <v>0.819672131147541</v>
      </c>
      <c r="G113" s="1" t="n">
        <f aca="false">C113*PI()*((B113/PI()/100)^2)/4</f>
        <v>0.179049310978382</v>
      </c>
      <c r="H113" s="1" t="n">
        <f aca="false">G113/G$126*100</f>
        <v>1.18731284981205</v>
      </c>
      <c r="I113" s="1" t="n">
        <f aca="false">SUM(H$4:H113)</f>
        <v>70.353642451553</v>
      </c>
      <c r="J113" s="1" t="n">
        <f aca="false">100-I113</f>
        <v>29.646357548447</v>
      </c>
      <c r="O113" s="3" t="n">
        <v>150</v>
      </c>
      <c r="P113" s="1" t="n">
        <v>29.646357548447</v>
      </c>
      <c r="Q113" s="1" t="n">
        <v>0.819672131147541</v>
      </c>
      <c r="R113" s="1" t="n">
        <f aca="false">2*O113/PI()</f>
        <v>95.4929658551372</v>
      </c>
    </row>
    <row r="114" customFormat="false" ht="14.25" hidden="false" customHeight="false" outlineLevel="0" collapsed="false">
      <c r="B114" s="3" t="n">
        <v>151</v>
      </c>
      <c r="C114" s="1" t="n">
        <v>1</v>
      </c>
      <c r="D114" s="1" t="n">
        <f aca="false">SUM(C$4:C114)</f>
        <v>1574</v>
      </c>
      <c r="E114" s="1" t="n">
        <f aca="false">D114/C$126*100</f>
        <v>99.2433795712484</v>
      </c>
      <c r="F114" s="1" t="n">
        <f aca="false">100-E114</f>
        <v>0.756620428751575</v>
      </c>
      <c r="G114" s="1" t="n">
        <f aca="false">C114*PI()*((B114/PI()/100)^2)/4</f>
        <v>0.181444592871915</v>
      </c>
      <c r="H114" s="1" t="n">
        <f aca="false">G114/G$126*100</f>
        <v>1.20319645726953</v>
      </c>
      <c r="I114" s="1" t="n">
        <f aca="false">SUM(H$4:H114)</f>
        <v>71.5568389088225</v>
      </c>
      <c r="J114" s="1" t="n">
        <f aca="false">100-I114</f>
        <v>28.4431610911775</v>
      </c>
      <c r="O114" s="3" t="n">
        <v>151</v>
      </c>
      <c r="P114" s="1" t="n">
        <v>28.4431610911775</v>
      </c>
      <c r="Q114" s="1" t="n">
        <v>0.756620428751575</v>
      </c>
      <c r="R114" s="1" t="n">
        <f aca="false">2*O114/PI()</f>
        <v>96.1295856275048</v>
      </c>
    </row>
    <row r="115" customFormat="false" ht="14.25" hidden="false" customHeight="false" outlineLevel="0" collapsed="false">
      <c r="B115" s="3" t="n">
        <v>162</v>
      </c>
      <c r="C115" s="1" t="n">
        <v>1</v>
      </c>
      <c r="D115" s="1" t="n">
        <f aca="false">SUM(C$4:C115)</f>
        <v>1575</v>
      </c>
      <c r="E115" s="1" t="n">
        <f aca="false">D115/C$126*100</f>
        <v>99.3064312736444</v>
      </c>
      <c r="F115" s="1" t="n">
        <f aca="false">100-E115</f>
        <v>0.693568726355608</v>
      </c>
      <c r="G115" s="1" t="n">
        <f aca="false">C115*PI()*((B115/PI()/100)^2)/4</f>
        <v>0.208843116325185</v>
      </c>
      <c r="H115" s="1" t="n">
        <f aca="false">G115/G$126*100</f>
        <v>1.38488170802077</v>
      </c>
      <c r="I115" s="1" t="n">
        <f aca="false">SUM(H$4:H115)</f>
        <v>72.9417206168433</v>
      </c>
      <c r="J115" s="1" t="n">
        <f aca="false">100-I115</f>
        <v>27.0582793831567</v>
      </c>
      <c r="O115" s="3" t="n">
        <v>162</v>
      </c>
      <c r="P115" s="1" t="n">
        <v>27.0582793831567</v>
      </c>
      <c r="Q115" s="1" t="n">
        <v>0.693568726355608</v>
      </c>
      <c r="R115" s="1" t="n">
        <f aca="false">2*O115/PI()</f>
        <v>103.132403123548</v>
      </c>
    </row>
    <row r="116" customFormat="false" ht="14.25" hidden="false" customHeight="false" outlineLevel="0" collapsed="false">
      <c r="B116" s="3" t="n">
        <v>164</v>
      </c>
      <c r="C116" s="1" t="n">
        <v>2</v>
      </c>
      <c r="D116" s="1" t="n">
        <f aca="false">SUM(C$4:C116)</f>
        <v>1577</v>
      </c>
      <c r="E116" s="1" t="n">
        <f aca="false">D116/C$126*100</f>
        <v>99.4325346784363</v>
      </c>
      <c r="F116" s="1" t="n">
        <f aca="false">100-E116</f>
        <v>0.567465321563688</v>
      </c>
      <c r="G116" s="1" t="n">
        <f aca="false">C116*PI()*((B116/PI()/100)^2)/4</f>
        <v>0.428063134939962</v>
      </c>
      <c r="H116" s="1" t="n">
        <f aca="false">G116/G$126*100</f>
        <v>2.83857479187065</v>
      </c>
      <c r="I116" s="1" t="n">
        <f aca="false">SUM(H$4:H116)</f>
        <v>75.780295408714</v>
      </c>
      <c r="J116" s="1" t="n">
        <f aca="false">100-I116</f>
        <v>24.219704591286</v>
      </c>
      <c r="O116" s="3" t="n">
        <v>164</v>
      </c>
      <c r="P116" s="1" t="n">
        <v>24.219704591286</v>
      </c>
      <c r="Q116" s="1" t="n">
        <v>0.567465321563688</v>
      </c>
      <c r="R116" s="1" t="n">
        <f aca="false">2*O116/PI()</f>
        <v>104.405642668283</v>
      </c>
    </row>
    <row r="117" customFormat="false" ht="14.25" hidden="false" customHeight="false" outlineLevel="0" collapsed="false">
      <c r="B117" s="3" t="n">
        <v>165</v>
      </c>
      <c r="C117" s="1" t="n">
        <v>1</v>
      </c>
      <c r="D117" s="1" t="n">
        <f aca="false">SUM(C$4:C117)</f>
        <v>1578</v>
      </c>
      <c r="E117" s="1" t="n">
        <f aca="false">D117/C$126*100</f>
        <v>99.4955863808323</v>
      </c>
      <c r="F117" s="1" t="n">
        <f aca="false">100-E117</f>
        <v>0.504413619167721</v>
      </c>
      <c r="G117" s="1" t="n">
        <f aca="false">C117*PI()*((B117/PI()/100)^2)/4</f>
        <v>0.216649666283843</v>
      </c>
      <c r="H117" s="1" t="n">
        <f aca="false">G117/G$126*100</f>
        <v>1.43664854827258</v>
      </c>
      <c r="I117" s="1" t="n">
        <f aca="false">SUM(H$4:H117)</f>
        <v>77.2169439569865</v>
      </c>
      <c r="J117" s="1" t="n">
        <f aca="false">100-I117</f>
        <v>22.7830560430135</v>
      </c>
      <c r="O117" s="3" t="n">
        <v>165</v>
      </c>
      <c r="P117" s="1" t="n">
        <v>22.7830560430135</v>
      </c>
      <c r="Q117" s="1" t="n">
        <v>0.504413619167721</v>
      </c>
      <c r="R117" s="1" t="n">
        <f aca="false">2*O117/PI()</f>
        <v>105.042262440651</v>
      </c>
    </row>
    <row r="118" customFormat="false" ht="14.25" hidden="false" customHeight="false" outlineLevel="0" collapsed="false">
      <c r="B118" s="3" t="n">
        <v>170</v>
      </c>
      <c r="C118" s="1" t="n">
        <v>1</v>
      </c>
      <c r="D118" s="1" t="n">
        <f aca="false">SUM(C$4:C118)</f>
        <v>1579</v>
      </c>
      <c r="E118" s="1" t="n">
        <f aca="false">D118/C$126*100</f>
        <v>99.5586380832283</v>
      </c>
      <c r="F118" s="1" t="n">
        <f aca="false">100-E118</f>
        <v>0.441361916771754</v>
      </c>
      <c r="G118" s="1" t="n">
        <f aca="false">C118*PI()*((B118/PI()/100)^2)/4</f>
        <v>0.229978892767789</v>
      </c>
      <c r="H118" s="1" t="n">
        <f aca="false">G118/G$126*100</f>
        <v>1.52503739375859</v>
      </c>
      <c r="I118" s="1" t="n">
        <f aca="false">SUM(H$4:H118)</f>
        <v>78.7419813507451</v>
      </c>
      <c r="J118" s="1" t="n">
        <f aca="false">100-I118</f>
        <v>21.2580186492549</v>
      </c>
      <c r="O118" s="3" t="n">
        <v>170</v>
      </c>
      <c r="P118" s="1" t="n">
        <v>21.2580186492549</v>
      </c>
      <c r="Q118" s="1" t="n">
        <v>0.441361916771754</v>
      </c>
      <c r="R118" s="1" t="n">
        <f aca="false">2*O118/PI()</f>
        <v>108.225361302489</v>
      </c>
    </row>
    <row r="119" customFormat="false" ht="14.25" hidden="false" customHeight="false" outlineLevel="0" collapsed="false">
      <c r="B119" s="3" t="n">
        <v>183</v>
      </c>
      <c r="C119" s="1" t="n">
        <v>1</v>
      </c>
      <c r="D119" s="1" t="n">
        <f aca="false">SUM(C$4:C119)</f>
        <v>1580</v>
      </c>
      <c r="E119" s="1" t="n">
        <f aca="false">D119/C$126*100</f>
        <v>99.6216897856242</v>
      </c>
      <c r="F119" s="1" t="n">
        <f aca="false">100-E119</f>
        <v>0.378310214375787</v>
      </c>
      <c r="G119" s="1" t="n">
        <f aca="false">C119*PI()*((B119/PI()/100)^2)/4</f>
        <v>0.266496994460224</v>
      </c>
      <c r="H119" s="1" t="n">
        <f aca="false">G119/G$126*100</f>
        <v>1.76719644566025</v>
      </c>
      <c r="I119" s="1" t="n">
        <f aca="false">SUM(H$4:H119)</f>
        <v>80.5091777964054</v>
      </c>
      <c r="J119" s="1" t="n">
        <f aca="false">100-I119</f>
        <v>19.4908222035946</v>
      </c>
      <c r="O119" s="3" t="n">
        <v>183</v>
      </c>
      <c r="P119" s="1" t="n">
        <v>19.4908222035946</v>
      </c>
      <c r="Q119" s="1" t="n">
        <v>0.378310214375787</v>
      </c>
      <c r="R119" s="1" t="n">
        <f aca="false">2*O119/PI()</f>
        <v>116.501418343267</v>
      </c>
    </row>
    <row r="120" customFormat="false" ht="14.25" hidden="false" customHeight="false" outlineLevel="0" collapsed="false">
      <c r="B120" s="3" t="n">
        <v>210</v>
      </c>
      <c r="C120" s="1" t="n">
        <v>1</v>
      </c>
      <c r="D120" s="1" t="n">
        <f aca="false">SUM(C$4:C120)</f>
        <v>1581</v>
      </c>
      <c r="E120" s="1" t="n">
        <f aca="false">D120/C$126*100</f>
        <v>99.6847414880202</v>
      </c>
      <c r="F120" s="1" t="n">
        <f aca="false">100-E120</f>
        <v>0.31525851197982</v>
      </c>
      <c r="G120" s="1" t="n">
        <f aca="false">C120*PI()*((B120/PI()/100)^2)/4</f>
        <v>0.350936649517629</v>
      </c>
      <c r="H120" s="1" t="n">
        <f aca="false">G120/G$126*100</f>
        <v>2.32713318563161</v>
      </c>
      <c r="I120" s="1" t="n">
        <f aca="false">SUM(H$4:H120)</f>
        <v>82.836310982037</v>
      </c>
      <c r="J120" s="1" t="n">
        <f aca="false">100-I120</f>
        <v>17.163689017963</v>
      </c>
      <c r="O120" s="3" t="n">
        <v>210</v>
      </c>
      <c r="P120" s="1" t="n">
        <v>17.163689017963</v>
      </c>
      <c r="Q120" s="1" t="n">
        <v>0.31525851197982</v>
      </c>
      <c r="R120" s="1" t="n">
        <f aca="false">2*O120/PI()</f>
        <v>133.690152197192</v>
      </c>
    </row>
    <row r="121" customFormat="false" ht="14.25" hidden="false" customHeight="false" outlineLevel="0" collapsed="false">
      <c r="B121" s="3" t="n">
        <v>212</v>
      </c>
      <c r="C121" s="1" t="n">
        <v>1</v>
      </c>
      <c r="D121" s="1" t="n">
        <f aca="false">SUM(C$4:C121)</f>
        <v>1582</v>
      </c>
      <c r="E121" s="1" t="n">
        <f aca="false">D121/C$126*100</f>
        <v>99.7477931904162</v>
      </c>
      <c r="F121" s="1" t="n">
        <f aca="false">100-E121</f>
        <v>0.252206809583853</v>
      </c>
      <c r="G121" s="1" t="n">
        <f aca="false">C121*PI()*((B121/PI()/100)^2)/4</f>
        <v>0.357652988116107</v>
      </c>
      <c r="H121" s="1" t="n">
        <f aca="false">G121/G$126*100</f>
        <v>2.37167060986456</v>
      </c>
      <c r="I121" s="1" t="n">
        <f aca="false">SUM(H$4:H121)</f>
        <v>85.2079815919015</v>
      </c>
      <c r="J121" s="1" t="n">
        <f aca="false">100-I121</f>
        <v>14.7920184080985</v>
      </c>
      <c r="O121" s="3" t="n">
        <v>212</v>
      </c>
      <c r="P121" s="1" t="n">
        <v>14.7920184080985</v>
      </c>
      <c r="Q121" s="1" t="n">
        <v>0.252206809583853</v>
      </c>
      <c r="R121" s="1" t="n">
        <f aca="false">2*O121/PI()</f>
        <v>134.963391741927</v>
      </c>
    </row>
    <row r="122" customFormat="false" ht="14.25" hidden="false" customHeight="false" outlineLevel="0" collapsed="false">
      <c r="B122" s="3" t="n">
        <v>230</v>
      </c>
      <c r="C122" s="1" t="n">
        <v>1</v>
      </c>
      <c r="D122" s="1" t="n">
        <f aca="false">SUM(C$4:C122)</f>
        <v>1583</v>
      </c>
      <c r="E122" s="1" t="n">
        <f aca="false">D122/C$126*100</f>
        <v>99.8108448928121</v>
      </c>
      <c r="F122" s="1" t="n">
        <f aca="false">100-E122</f>
        <v>0.189155107187901</v>
      </c>
      <c r="G122" s="1" t="n">
        <f aca="false">C122*PI()*((B122/PI()/100)^2)/4</f>
        <v>0.420964824478063</v>
      </c>
      <c r="H122" s="1" t="n">
        <f aca="false">G122/G$126*100</f>
        <v>2.79150443355811</v>
      </c>
      <c r="I122" s="1" t="n">
        <f aca="false">SUM(H$4:H122)</f>
        <v>87.9994860254596</v>
      </c>
      <c r="J122" s="1" t="n">
        <f aca="false">100-I122</f>
        <v>12.0005139745404</v>
      </c>
      <c r="O122" s="3" t="n">
        <v>230</v>
      </c>
      <c r="P122" s="1" t="n">
        <v>12.0005139745404</v>
      </c>
      <c r="Q122" s="1" t="n">
        <v>0.189155107187901</v>
      </c>
      <c r="R122" s="1" t="n">
        <f aca="false">2*O122/PI()</f>
        <v>146.422547644544</v>
      </c>
    </row>
    <row r="123" customFormat="false" ht="14.25" hidden="false" customHeight="false" outlineLevel="0" collapsed="false">
      <c r="B123" s="3" t="n">
        <v>237</v>
      </c>
      <c r="C123" s="1" t="n">
        <v>1</v>
      </c>
      <c r="D123" s="1" t="n">
        <f aca="false">SUM(C$4:C123)</f>
        <v>1584</v>
      </c>
      <c r="E123" s="1" t="n">
        <f aca="false">D123/C$126*100</f>
        <v>99.8738965952081</v>
      </c>
      <c r="F123" s="1" t="n">
        <f aca="false">100-E123</f>
        <v>0.126103404791934</v>
      </c>
      <c r="G123" s="1" t="n">
        <f aca="false">C123*PI()*((B123/PI()/100)^2)/4</f>
        <v>0.446978699926434</v>
      </c>
      <c r="H123" s="1" t="n">
        <f aca="false">G123/G$126*100</f>
        <v>2.9640077982708</v>
      </c>
      <c r="I123" s="1" t="n">
        <f aca="false">SUM(H$4:H123)</f>
        <v>90.9634938237304</v>
      </c>
      <c r="J123" s="1" t="n">
        <f aca="false">100-I123</f>
        <v>9.03650617626957</v>
      </c>
      <c r="O123" s="3" t="n">
        <v>237</v>
      </c>
      <c r="P123" s="1" t="n">
        <v>9.03650617626957</v>
      </c>
      <c r="Q123" s="1" t="n">
        <v>0.126103404791934</v>
      </c>
      <c r="R123" s="1" t="n">
        <f aca="false">2*O123/PI()</f>
        <v>150.878886051117</v>
      </c>
    </row>
    <row r="124" customFormat="false" ht="14.25" hidden="false" customHeight="false" outlineLevel="0" collapsed="false">
      <c r="B124" s="3" t="n">
        <v>266</v>
      </c>
      <c r="C124" s="1" t="n">
        <v>1</v>
      </c>
      <c r="D124" s="1" t="n">
        <f aca="false">SUM(C$4:C124)</f>
        <v>1585</v>
      </c>
      <c r="E124" s="1" t="n">
        <f aca="false">D124/C$126*100</f>
        <v>99.936948297604</v>
      </c>
      <c r="F124" s="1" t="n">
        <f aca="false">100-E124</f>
        <v>0.0630517023959669</v>
      </c>
      <c r="G124" s="1" t="n">
        <f aca="false">C124*PI()*((B124/PI()/100)^2)/4</f>
        <v>0.563058357670507</v>
      </c>
      <c r="H124" s="1" t="n">
        <f aca="false">G124/G$126*100</f>
        <v>3.73375591116895</v>
      </c>
      <c r="I124" s="1" t="n">
        <f aca="false">SUM(H$4:H124)</f>
        <v>94.6972497348994</v>
      </c>
      <c r="J124" s="1" t="n">
        <f aca="false">100-I124</f>
        <v>5.30275026510063</v>
      </c>
      <c r="O124" s="3" t="n">
        <v>266</v>
      </c>
      <c r="P124" s="1" t="n">
        <v>5.30275026510063</v>
      </c>
      <c r="Q124" s="1" t="n">
        <v>0.0630517023959669</v>
      </c>
      <c r="R124" s="1" t="n">
        <f aca="false">2*O124/PI()</f>
        <v>169.340859449777</v>
      </c>
    </row>
    <row r="125" customFormat="false" ht="14.25" hidden="false" customHeight="false" outlineLevel="0" collapsed="false">
      <c r="B125" s="3" t="n">
        <v>317</v>
      </c>
      <c r="C125" s="1" t="n">
        <v>1</v>
      </c>
      <c r="D125" s="1" t="n">
        <f aca="false">SUM(C$4:C125)</f>
        <v>1586</v>
      </c>
      <c r="E125" s="1" t="n">
        <f aca="false">D125/C$126*100</f>
        <v>100</v>
      </c>
      <c r="F125" s="1" t="n">
        <f aca="false">100-E125</f>
        <v>0</v>
      </c>
      <c r="G125" s="1" t="n">
        <f aca="false">C125*PI()*((B125/PI()/100)^2)/4</f>
        <v>0.799666053818073</v>
      </c>
      <c r="H125" s="1" t="n">
        <f aca="false">G125/G$126*100</f>
        <v>5.30275026510057</v>
      </c>
      <c r="I125" s="1" t="n">
        <f aca="false">SUM(H$4:H125)</f>
        <v>99.9999999999999</v>
      </c>
      <c r="J125" s="1" t="n">
        <f aca="false">100-I125</f>
        <v>0</v>
      </c>
      <c r="O125" s="3" t="n">
        <v>317</v>
      </c>
      <c r="P125" s="1" t="n">
        <v>0</v>
      </c>
      <c r="Q125" s="1" t="n">
        <v>0</v>
      </c>
      <c r="R125" s="1" t="n">
        <f aca="false">2*O125/PI()</f>
        <v>201.808467840523</v>
      </c>
    </row>
    <row r="126" customFormat="false" ht="14.25" hidden="false" customHeight="false" outlineLevel="0" collapsed="false">
      <c r="C126" s="7" t="n">
        <f aca="false">SUM(C4:C125)</f>
        <v>1586</v>
      </c>
      <c r="G126" s="7" t="n">
        <f aca="false">SUM(G4:G125)</f>
        <v>15.0802133579811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P4" activeCellId="0" sqref="P4"/>
    </sheetView>
  </sheetViews>
  <sheetFormatPr defaultColWidth="8.4765625" defaultRowHeight="14.25" customHeight="false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1" width="25.11"/>
    <col collapsed="false" customWidth="true" hidden="false" outlineLevel="0" max="32" min="3" style="1" width="3"/>
    <col collapsed="false" customWidth="true" hidden="false" outlineLevel="0" max="33" min="33" style="1" width="10.56"/>
  </cols>
  <sheetData>
    <row r="1" customFormat="false" ht="14.25" hidden="false" customHeight="false" outlineLevel="0" collapsed="false">
      <c r="A1" s="8" t="s">
        <v>18</v>
      </c>
      <c r="B1" s="9" t="s">
        <v>19</v>
      </c>
    </row>
    <row r="2" customFormat="false" ht="14.25" hidden="false" customHeight="false" outlineLevel="0" collapsed="false">
      <c r="A2" s="0"/>
      <c r="B2" s="0"/>
    </row>
    <row r="3" customFormat="false" ht="14.25" hidden="false" customHeight="false" outlineLevel="0" collapsed="false">
      <c r="A3" s="10" t="s">
        <v>20</v>
      </c>
      <c r="B3" s="11" t="s">
        <v>21</v>
      </c>
    </row>
    <row r="4" customFormat="false" ht="14.25" hidden="false" customHeight="false" outlineLevel="0" collapsed="false">
      <c r="A4" s="12" t="n">
        <v>1</v>
      </c>
      <c r="B4" s="13" t="n">
        <v>54</v>
      </c>
      <c r="P4" s="1" t="n">
        <v>54</v>
      </c>
    </row>
    <row r="5" customFormat="false" ht="14.25" hidden="false" customHeight="false" outlineLevel="0" collapsed="false">
      <c r="A5" s="14" t="n">
        <v>2</v>
      </c>
      <c r="B5" s="15" t="n">
        <v>60</v>
      </c>
      <c r="P5" s="1" t="n">
        <v>60</v>
      </c>
    </row>
    <row r="6" customFormat="false" ht="14.25" hidden="false" customHeight="false" outlineLevel="0" collapsed="false">
      <c r="A6" s="14" t="n">
        <v>3</v>
      </c>
      <c r="B6" s="15" t="n">
        <v>56</v>
      </c>
      <c r="P6" s="1" t="n">
        <v>56</v>
      </c>
    </row>
    <row r="7" customFormat="false" ht="14.25" hidden="false" customHeight="false" outlineLevel="0" collapsed="false">
      <c r="A7" s="14" t="n">
        <v>4</v>
      </c>
      <c r="B7" s="15" t="n">
        <v>45</v>
      </c>
      <c r="P7" s="1" t="n">
        <v>45</v>
      </c>
    </row>
    <row r="8" customFormat="false" ht="14.25" hidden="false" customHeight="false" outlineLevel="0" collapsed="false">
      <c r="A8" s="14" t="n">
        <v>5</v>
      </c>
      <c r="B8" s="15" t="n">
        <v>78</v>
      </c>
      <c r="P8" s="1" t="n">
        <v>78</v>
      </c>
    </row>
    <row r="9" customFormat="false" ht="14.25" hidden="false" customHeight="false" outlineLevel="0" collapsed="false">
      <c r="A9" s="14" t="n">
        <v>6</v>
      </c>
      <c r="B9" s="15" t="n">
        <v>68</v>
      </c>
      <c r="P9" s="1" t="n">
        <v>68</v>
      </c>
    </row>
    <row r="10" customFormat="false" ht="14.25" hidden="false" customHeight="false" outlineLevel="0" collapsed="false">
      <c r="A10" s="14" t="n">
        <v>7</v>
      </c>
      <c r="B10" s="15" t="n">
        <v>54</v>
      </c>
      <c r="P10" s="1" t="n">
        <v>54</v>
      </c>
    </row>
    <row r="11" customFormat="false" ht="14.25" hidden="false" customHeight="false" outlineLevel="0" collapsed="false">
      <c r="A11" s="14" t="n">
        <v>8</v>
      </c>
      <c r="B11" s="15" t="n">
        <v>73</v>
      </c>
      <c r="P11" s="1" t="n">
        <v>73</v>
      </c>
    </row>
    <row r="12" customFormat="false" ht="14.25" hidden="false" customHeight="false" outlineLevel="0" collapsed="false">
      <c r="A12" s="14" t="n">
        <v>9</v>
      </c>
      <c r="B12" s="15" t="n">
        <v>24</v>
      </c>
      <c r="P12" s="1" t="n">
        <v>24</v>
      </c>
    </row>
    <row r="13" customFormat="false" ht="14.25" hidden="false" customHeight="false" outlineLevel="0" collapsed="false">
      <c r="A13" s="14" t="n">
        <v>10</v>
      </c>
      <c r="B13" s="15" t="n">
        <v>29</v>
      </c>
      <c r="P13" s="1" t="n">
        <v>29</v>
      </c>
    </row>
    <row r="14" customFormat="false" ht="14.25" hidden="false" customHeight="false" outlineLevel="0" collapsed="false">
      <c r="A14" s="14" t="n">
        <v>11</v>
      </c>
      <c r="B14" s="15" t="n">
        <v>46</v>
      </c>
      <c r="P14" s="1" t="n">
        <v>46</v>
      </c>
    </row>
    <row r="15" customFormat="false" ht="14.25" hidden="false" customHeight="false" outlineLevel="0" collapsed="false">
      <c r="A15" s="14" t="n">
        <v>12</v>
      </c>
      <c r="B15" s="15" t="n">
        <v>47</v>
      </c>
      <c r="P15" s="1" t="n">
        <v>47</v>
      </c>
    </row>
    <row r="16" customFormat="false" ht="14.25" hidden="false" customHeight="false" outlineLevel="0" collapsed="false">
      <c r="A16" s="14" t="n">
        <v>13</v>
      </c>
      <c r="B16" s="15" t="n">
        <v>30</v>
      </c>
      <c r="P16" s="1" t="n">
        <v>30</v>
      </c>
    </row>
    <row r="17" customFormat="false" ht="14.25" hidden="false" customHeight="false" outlineLevel="0" collapsed="false">
      <c r="A17" s="14" t="n">
        <v>14</v>
      </c>
      <c r="B17" s="15" t="n">
        <v>54</v>
      </c>
      <c r="P17" s="1" t="n">
        <v>54</v>
      </c>
    </row>
    <row r="18" customFormat="false" ht="14.25" hidden="false" customHeight="false" outlineLevel="0" collapsed="false">
      <c r="A18" s="14" t="n">
        <v>15</v>
      </c>
      <c r="B18" s="15" t="n">
        <v>31</v>
      </c>
      <c r="P18" s="1" t="n">
        <v>31</v>
      </c>
    </row>
    <row r="19" customFormat="false" ht="14.25" hidden="false" customHeight="false" outlineLevel="0" collapsed="false">
      <c r="A19" s="14" t="n">
        <v>16</v>
      </c>
      <c r="B19" s="15" t="n">
        <v>30</v>
      </c>
      <c r="P19" s="1" t="n">
        <v>30</v>
      </c>
    </row>
    <row r="20" customFormat="false" ht="14.25" hidden="false" customHeight="false" outlineLevel="0" collapsed="false">
      <c r="A20" s="14" t="n">
        <v>17</v>
      </c>
      <c r="B20" s="15" t="n">
        <v>48</v>
      </c>
      <c r="P20" s="1" t="n">
        <v>48</v>
      </c>
    </row>
    <row r="21" customFormat="false" ht="14.25" hidden="false" customHeight="false" outlineLevel="0" collapsed="false">
      <c r="A21" s="14" t="n">
        <v>18</v>
      </c>
      <c r="B21" s="15" t="n">
        <v>48</v>
      </c>
      <c r="P21" s="1" t="n">
        <v>48</v>
      </c>
    </row>
    <row r="22" customFormat="false" ht="14.25" hidden="false" customHeight="false" outlineLevel="0" collapsed="false">
      <c r="A22" s="14" t="n">
        <v>19</v>
      </c>
      <c r="B22" s="15" t="n">
        <v>64</v>
      </c>
      <c r="P22" s="1" t="n">
        <v>64</v>
      </c>
    </row>
    <row r="23" customFormat="false" ht="14.25" hidden="false" customHeight="false" outlineLevel="0" collapsed="false">
      <c r="A23" s="14" t="n">
        <v>20</v>
      </c>
      <c r="B23" s="15" t="n">
        <v>53</v>
      </c>
      <c r="P23" s="1" t="n">
        <v>53</v>
      </c>
    </row>
    <row r="24" customFormat="false" ht="14.25" hidden="false" customHeight="false" outlineLevel="0" collapsed="false">
      <c r="A24" s="14" t="n">
        <v>21</v>
      </c>
      <c r="B24" s="15" t="n">
        <v>45</v>
      </c>
      <c r="P24" s="1" t="n">
        <v>45</v>
      </c>
    </row>
    <row r="25" customFormat="false" ht="14.25" hidden="false" customHeight="false" outlineLevel="0" collapsed="false">
      <c r="A25" s="14" t="n">
        <v>22</v>
      </c>
      <c r="B25" s="15" t="n">
        <v>34</v>
      </c>
      <c r="P25" s="1" t="n">
        <v>34</v>
      </c>
    </row>
    <row r="26" customFormat="false" ht="14.25" hidden="false" customHeight="false" outlineLevel="0" collapsed="false">
      <c r="A26" s="14" t="n">
        <v>23</v>
      </c>
      <c r="B26" s="15" t="n">
        <v>55</v>
      </c>
      <c r="P26" s="1" t="n">
        <v>55</v>
      </c>
    </row>
    <row r="27" customFormat="false" ht="14.25" hidden="false" customHeight="false" outlineLevel="0" collapsed="false">
      <c r="A27" s="14" t="n">
        <v>24</v>
      </c>
      <c r="B27" s="15" t="n">
        <v>44</v>
      </c>
      <c r="P27" s="1" t="n">
        <v>44</v>
      </c>
    </row>
    <row r="28" customFormat="false" ht="14.25" hidden="false" customHeight="false" outlineLevel="0" collapsed="false">
      <c r="A28" s="14" t="n">
        <v>25</v>
      </c>
      <c r="B28" s="15" t="n">
        <v>46</v>
      </c>
      <c r="P28" s="1" t="n">
        <v>46</v>
      </c>
    </row>
    <row r="29" customFormat="false" ht="14.25" hidden="false" customHeight="false" outlineLevel="0" collapsed="false">
      <c r="A29" s="14" t="n">
        <v>26</v>
      </c>
      <c r="B29" s="15" t="n">
        <v>55</v>
      </c>
      <c r="P29" s="1" t="n">
        <v>55</v>
      </c>
    </row>
    <row r="30" customFormat="false" ht="14.25" hidden="false" customHeight="false" outlineLevel="0" collapsed="false">
      <c r="A30" s="14" t="n">
        <v>27</v>
      </c>
      <c r="B30" s="15" t="n">
        <v>59</v>
      </c>
      <c r="P30" s="1" t="n">
        <v>59</v>
      </c>
    </row>
    <row r="31" customFormat="false" ht="14.25" hidden="false" customHeight="false" outlineLevel="0" collapsed="false">
      <c r="A31" s="14" t="n">
        <v>28</v>
      </c>
      <c r="B31" s="15" t="n">
        <v>47</v>
      </c>
      <c r="P31" s="1" t="n">
        <v>47</v>
      </c>
    </row>
    <row r="32" customFormat="false" ht="14.25" hidden="false" customHeight="false" outlineLevel="0" collapsed="false">
      <c r="A32" s="14" t="n">
        <v>29</v>
      </c>
      <c r="B32" s="15" t="n">
        <v>68</v>
      </c>
      <c r="P32" s="1" t="n">
        <v>68</v>
      </c>
    </row>
    <row r="33" customFormat="false" ht="14.25" hidden="false" customHeight="false" outlineLevel="0" collapsed="false">
      <c r="A33" s="14" t="n">
        <v>30</v>
      </c>
      <c r="B33" s="15" t="n">
        <v>65</v>
      </c>
      <c r="P33" s="1" t="n">
        <v>65</v>
      </c>
    </row>
    <row r="34" customFormat="false" ht="14.25" hidden="false" customHeight="false" outlineLevel="0" collapsed="false">
      <c r="A34" s="14" t="n">
        <v>31</v>
      </c>
      <c r="B34" s="16" t="n">
        <v>65</v>
      </c>
      <c r="P34" s="1" t="n">
        <v>65</v>
      </c>
    </row>
    <row r="35" customFormat="false" ht="14.25" hidden="false" customHeight="false" outlineLevel="0" collapsed="false">
      <c r="A35" s="17" t="s">
        <v>22</v>
      </c>
      <c r="B35" s="18" t="n">
        <v>1575</v>
      </c>
      <c r="H35" s="19"/>
      <c r="P35" s="19" t="n">
        <f aca="false">AVERAGE(P4:P34)</f>
        <v>50.8064516129032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8" activeCellId="0" sqref="B18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58.11"/>
    <col collapsed="false" customWidth="true" hidden="false" outlineLevel="0" max="3" min="3" style="1" width="77.22"/>
  </cols>
  <sheetData>
    <row r="1" customFormat="false" ht="14.25" hidden="false" customHeight="false" outlineLevel="0" collapsed="false">
      <c r="A1" s="1" t="s">
        <v>23</v>
      </c>
      <c r="B1" s="1" t="s">
        <v>24</v>
      </c>
      <c r="C1" s="1" t="s">
        <v>25</v>
      </c>
    </row>
    <row r="2" customFormat="false" ht="36.75" hidden="false" customHeight="true" outlineLevel="0" collapsed="false">
      <c r="A2" s="1" t="s">
        <v>26</v>
      </c>
      <c r="B2" s="1" t="s">
        <v>27</v>
      </c>
      <c r="C2" s="1" t="s">
        <v>28</v>
      </c>
    </row>
    <row r="3" customFormat="false" ht="15.65" hidden="false" customHeight="false" outlineLevel="0" collapsed="false">
      <c r="A3" s="1" t="s">
        <v>29</v>
      </c>
      <c r="B3" s="1" t="s">
        <v>30</v>
      </c>
      <c r="C3" s="1" t="s">
        <v>31</v>
      </c>
    </row>
    <row r="4" customFormat="false" ht="14.25" hidden="false" customHeight="false" outlineLevel="0" collapsed="false">
      <c r="A4" s="1" t="s">
        <v>32</v>
      </c>
      <c r="B4" s="1" t="s">
        <v>33</v>
      </c>
      <c r="C4" s="1" t="s">
        <v>34</v>
      </c>
    </row>
    <row r="5" customFormat="false" ht="15.65" hidden="false" customHeight="false" outlineLevel="0" collapsed="false">
      <c r="A5" s="1" t="s">
        <v>35</v>
      </c>
      <c r="B5" s="1" t="s">
        <v>36</v>
      </c>
      <c r="C5" s="1" t="s">
        <v>37</v>
      </c>
    </row>
    <row r="6" customFormat="false" ht="15.65" hidden="false" customHeight="false" outlineLevel="0" collapsed="false">
      <c r="A6" s="1" t="s">
        <v>38</v>
      </c>
      <c r="B6" s="1" t="s">
        <v>39</v>
      </c>
      <c r="C6" s="1" t="s">
        <v>40</v>
      </c>
    </row>
    <row r="7" customFormat="false" ht="15.65" hidden="false" customHeight="false" outlineLevel="0" collapsed="false">
      <c r="A7" s="1" t="s">
        <v>41</v>
      </c>
      <c r="B7" s="1" t="s">
        <v>42</v>
      </c>
      <c r="C7" s="1" t="s">
        <v>43</v>
      </c>
    </row>
    <row r="8" customFormat="false" ht="14.25" hidden="false" customHeight="false" outlineLevel="0" collapsed="false">
      <c r="A8" s="1" t="s">
        <v>44</v>
      </c>
      <c r="B8" s="1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2" activeCellId="0" sqref="H2"/>
    </sheetView>
  </sheetViews>
  <sheetFormatPr defaultColWidth="8.4765625" defaultRowHeight="14.2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5.11"/>
    <col collapsed="false" customWidth="true" hidden="false" outlineLevel="0" max="3" min="3" style="1" width="9.33"/>
    <col collapsed="false" customWidth="true" hidden="false" outlineLevel="0" max="7" min="7" style="1" width="14.78"/>
    <col collapsed="false" customWidth="true" hidden="false" outlineLevel="0" max="8" min="8" style="1" width="16.33"/>
    <col collapsed="false" customWidth="true" hidden="false" outlineLevel="0" max="9" min="9" style="1" width="9.44"/>
  </cols>
  <sheetData>
    <row r="1" customFormat="false" ht="14.2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 customFormat="false" ht="14.25" hidden="false" customHeight="false" outlineLevel="0" collapsed="false">
      <c r="A2" s="1" t="n">
        <v>1</v>
      </c>
      <c r="B2" s="1" t="s">
        <v>55</v>
      </c>
      <c r="C2" s="20" t="n">
        <v>45854</v>
      </c>
      <c r="D2" s="1" t="n">
        <v>-21.891547</v>
      </c>
      <c r="E2" s="1" t="n">
        <v>47.965152</v>
      </c>
      <c r="F2" s="1" t="n">
        <v>150</v>
      </c>
      <c r="G2" s="1" t="s">
        <v>56</v>
      </c>
      <c r="H2" s="1" t="s">
        <v>57</v>
      </c>
      <c r="I2" s="1" t="s">
        <v>58</v>
      </c>
    </row>
    <row r="3" customFormat="false" ht="14.25" hidden="false" customHeight="false" outlineLevel="0" collapsed="false">
      <c r="A3" s="1" t="n">
        <v>2</v>
      </c>
      <c r="B3" s="1" t="s">
        <v>55</v>
      </c>
      <c r="C3" s="20" t="n">
        <v>45854</v>
      </c>
      <c r="D3" s="1" t="n">
        <v>-21.891075</v>
      </c>
      <c r="E3" s="1" t="n">
        <v>47.966491</v>
      </c>
      <c r="F3" s="1" t="n">
        <v>158</v>
      </c>
      <c r="G3" s="1" t="s">
        <v>56</v>
      </c>
      <c r="H3" s="1" t="s">
        <v>57</v>
      </c>
      <c r="I3" s="1" t="s">
        <v>58</v>
      </c>
    </row>
    <row r="4" customFormat="false" ht="14.25" hidden="false" customHeight="false" outlineLevel="0" collapsed="false">
      <c r="A4" s="1" t="n">
        <v>3</v>
      </c>
      <c r="B4" s="1" t="s">
        <v>55</v>
      </c>
      <c r="C4" s="20" t="n">
        <v>45855</v>
      </c>
      <c r="D4" s="1" t="n">
        <v>-21.88904</v>
      </c>
      <c r="E4" s="1" t="n">
        <v>47.955971</v>
      </c>
      <c r="F4" s="1" t="n">
        <v>68</v>
      </c>
      <c r="G4" s="1" t="s">
        <v>56</v>
      </c>
      <c r="H4" s="1" t="s">
        <v>59</v>
      </c>
      <c r="I4" s="1" t="s">
        <v>58</v>
      </c>
    </row>
    <row r="5" customFormat="false" ht="14.25" hidden="false" customHeight="false" outlineLevel="0" collapsed="false">
      <c r="A5" s="1" t="n">
        <v>4</v>
      </c>
      <c r="B5" s="1" t="s">
        <v>55</v>
      </c>
      <c r="C5" s="20" t="n">
        <v>45855</v>
      </c>
      <c r="D5" s="1" t="n">
        <v>-21.890699</v>
      </c>
      <c r="E5" s="1" t="n">
        <v>47.955059</v>
      </c>
      <c r="F5" s="1" t="n">
        <v>94</v>
      </c>
      <c r="G5" s="1" t="s">
        <v>56</v>
      </c>
      <c r="H5" s="1" t="s">
        <v>59</v>
      </c>
      <c r="I5" s="1" t="s">
        <v>58</v>
      </c>
    </row>
    <row r="6" customFormat="false" ht="14.25" hidden="false" customHeight="false" outlineLevel="0" collapsed="false">
      <c r="A6" s="1" t="n">
        <v>5</v>
      </c>
      <c r="B6" s="1" t="s">
        <v>55</v>
      </c>
      <c r="C6" s="20" t="n">
        <v>45861</v>
      </c>
      <c r="D6" s="1" t="n">
        <v>-21.888729</v>
      </c>
      <c r="E6" s="1" t="n">
        <v>47.948065</v>
      </c>
      <c r="F6" s="1" t="n">
        <v>72</v>
      </c>
      <c r="G6" s="1" t="s">
        <v>56</v>
      </c>
      <c r="H6" s="1" t="s">
        <v>60</v>
      </c>
      <c r="I6" s="1" t="s">
        <v>58</v>
      </c>
    </row>
    <row r="7" customFormat="false" ht="14.25" hidden="false" customHeight="false" outlineLevel="0" collapsed="false">
      <c r="A7" s="1" t="n">
        <v>6</v>
      </c>
      <c r="B7" s="1" t="s">
        <v>55</v>
      </c>
      <c r="C7" s="20" t="n">
        <v>45861</v>
      </c>
      <c r="D7" s="1" t="n">
        <v>-21.889059</v>
      </c>
      <c r="E7" s="1" t="n">
        <v>47.949149</v>
      </c>
      <c r="F7" s="1" t="n">
        <v>66</v>
      </c>
      <c r="G7" s="1" t="s">
        <v>56</v>
      </c>
      <c r="H7" s="1" t="s">
        <v>60</v>
      </c>
      <c r="I7" s="1" t="s">
        <v>58</v>
      </c>
    </row>
    <row r="8" customFormat="false" ht="14.25" hidden="false" customHeight="false" outlineLevel="0" collapsed="false">
      <c r="A8" s="1" t="n">
        <v>7</v>
      </c>
      <c r="B8" s="1" t="s">
        <v>55</v>
      </c>
      <c r="C8" s="20" t="n">
        <v>45862</v>
      </c>
      <c r="D8" s="1" t="n">
        <v>-21.893927</v>
      </c>
      <c r="E8" s="1" t="n">
        <v>47.94211</v>
      </c>
      <c r="F8" s="1" t="n">
        <v>45</v>
      </c>
      <c r="G8" s="1" t="s">
        <v>56</v>
      </c>
      <c r="H8" s="1" t="s">
        <v>61</v>
      </c>
      <c r="I8" s="1" t="s">
        <v>58</v>
      </c>
    </row>
    <row r="9" customFormat="false" ht="14.25" hidden="false" customHeight="false" outlineLevel="0" collapsed="false">
      <c r="A9" s="1" t="n">
        <v>8</v>
      </c>
      <c r="B9" s="1" t="s">
        <v>55</v>
      </c>
      <c r="C9" s="20" t="n">
        <v>45862</v>
      </c>
      <c r="D9" s="1" t="n">
        <v>-21.894272</v>
      </c>
      <c r="E9" s="1" t="n">
        <v>47.942111</v>
      </c>
      <c r="F9" s="1" t="n">
        <v>83</v>
      </c>
      <c r="G9" s="1" t="s">
        <v>56</v>
      </c>
      <c r="H9" s="1" t="s">
        <v>61</v>
      </c>
      <c r="I9" s="1" t="s">
        <v>58</v>
      </c>
    </row>
    <row r="1048576" customFormat="false" ht="14.25" hidden="false" customHeight="false" outlineLevel="0" collapsed="false">
      <c r="I1048576" s="1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1" min="11" style="1" width="95.11"/>
  </cols>
  <sheetData>
    <row r="1" customFormat="false" ht="14.25" hidden="false" customHeight="false" outlineLevel="0" collapsed="false">
      <c r="A1" s="2" t="s">
        <v>20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</row>
    <row r="2" customFormat="false" ht="14.25" hidden="false" customHeight="false" outlineLevel="0" collapsed="false">
      <c r="A2" s="1" t="n">
        <v>1</v>
      </c>
      <c r="B2" s="1" t="s">
        <v>72</v>
      </c>
      <c r="C2" s="1" t="n">
        <v>3</v>
      </c>
      <c r="D2" s="1" t="s">
        <v>73</v>
      </c>
      <c r="E2" s="1" t="s">
        <v>74</v>
      </c>
      <c r="F2" s="1" t="s">
        <v>74</v>
      </c>
      <c r="G2" s="1" t="n">
        <v>12</v>
      </c>
      <c r="H2" s="1" t="s">
        <v>75</v>
      </c>
      <c r="I2" s="1" t="n">
        <v>35</v>
      </c>
      <c r="J2" s="1" t="n">
        <v>30</v>
      </c>
      <c r="K2" s="1" t="s">
        <v>76</v>
      </c>
    </row>
    <row r="3" customFormat="false" ht="14.25" hidden="false" customHeight="false" outlineLevel="0" collapsed="false">
      <c r="A3" s="1" t="n">
        <v>2</v>
      </c>
      <c r="B3" s="1" t="s">
        <v>72</v>
      </c>
      <c r="C3" s="1" t="n">
        <v>3</v>
      </c>
      <c r="D3" s="1" t="s">
        <v>77</v>
      </c>
      <c r="E3" s="1" t="s">
        <v>78</v>
      </c>
      <c r="F3" s="1" t="s">
        <v>79</v>
      </c>
      <c r="G3" s="1" t="n">
        <v>15</v>
      </c>
      <c r="H3" s="1" t="s">
        <v>80</v>
      </c>
      <c r="I3" s="1" t="n">
        <v>30</v>
      </c>
      <c r="J3" s="1" t="n">
        <v>30</v>
      </c>
      <c r="K3" s="1" t="s">
        <v>81</v>
      </c>
    </row>
    <row r="4" customFormat="false" ht="14.25" hidden="false" customHeight="false" outlineLevel="0" collapsed="false">
      <c r="A4" s="1" t="n">
        <v>3</v>
      </c>
      <c r="B4" s="1" t="s">
        <v>82</v>
      </c>
      <c r="C4" s="1" t="n">
        <v>3</v>
      </c>
      <c r="D4" s="1" t="s">
        <v>83</v>
      </c>
      <c r="E4" s="1" t="s">
        <v>84</v>
      </c>
      <c r="F4" s="1" t="s">
        <v>85</v>
      </c>
      <c r="G4" s="1" t="n">
        <v>17</v>
      </c>
      <c r="H4" s="1" t="s">
        <v>86</v>
      </c>
      <c r="I4" s="1" t="n">
        <v>30</v>
      </c>
      <c r="J4" s="1" t="n">
        <v>25</v>
      </c>
      <c r="K4" s="1" t="s">
        <v>87</v>
      </c>
    </row>
    <row r="5" customFormat="false" ht="14.25" hidden="false" customHeight="false" outlineLevel="0" collapsed="false">
      <c r="A5" s="1" t="n">
        <v>4</v>
      </c>
      <c r="B5" s="1" t="s">
        <v>82</v>
      </c>
      <c r="C5" s="1" t="n">
        <v>3</v>
      </c>
      <c r="D5" s="1" t="s">
        <v>88</v>
      </c>
      <c r="E5" s="1" t="s">
        <v>74</v>
      </c>
      <c r="F5" s="1" t="s">
        <v>89</v>
      </c>
      <c r="G5" s="1" t="n">
        <v>20</v>
      </c>
      <c r="H5" s="1" t="s">
        <v>90</v>
      </c>
      <c r="I5" s="1" t="n">
        <v>30</v>
      </c>
      <c r="J5" s="1" t="n">
        <v>15</v>
      </c>
      <c r="K5" s="1" t="s">
        <v>91</v>
      </c>
    </row>
    <row r="6" customFormat="false" ht="14.25" hidden="false" customHeight="false" outlineLevel="0" collapsed="false">
      <c r="A6" s="1" t="n">
        <v>5</v>
      </c>
      <c r="B6" s="1" t="s">
        <v>92</v>
      </c>
      <c r="C6" s="1" t="n">
        <v>3</v>
      </c>
      <c r="D6" s="1" t="s">
        <v>93</v>
      </c>
      <c r="E6" s="1" t="s">
        <v>94</v>
      </c>
      <c r="F6" s="1" t="s">
        <v>95</v>
      </c>
      <c r="G6" s="1" t="n">
        <v>15</v>
      </c>
      <c r="H6" s="1" t="s">
        <v>74</v>
      </c>
      <c r="I6" s="1" t="n">
        <v>60</v>
      </c>
      <c r="J6" s="1" t="n">
        <v>10</v>
      </c>
      <c r="K6" s="1" t="s">
        <v>96</v>
      </c>
    </row>
    <row r="7" customFormat="false" ht="14.25" hidden="false" customHeight="false" outlineLevel="0" collapsed="false">
      <c r="A7" s="1" t="n">
        <v>6</v>
      </c>
      <c r="B7" s="1" t="s">
        <v>92</v>
      </c>
      <c r="C7" s="1" t="n">
        <v>3</v>
      </c>
      <c r="D7" s="1" t="s">
        <v>97</v>
      </c>
      <c r="E7" s="1" t="s">
        <v>98</v>
      </c>
      <c r="F7" s="1" t="s">
        <v>99</v>
      </c>
      <c r="G7" s="1" t="n">
        <v>12</v>
      </c>
      <c r="H7" s="1" t="s">
        <v>74</v>
      </c>
      <c r="I7" s="1" t="n">
        <v>35</v>
      </c>
      <c r="J7" s="1" t="n">
        <v>15</v>
      </c>
      <c r="K7" s="1" t="s">
        <v>100</v>
      </c>
    </row>
    <row r="8" customFormat="false" ht="14.25" hidden="false" customHeight="false" outlineLevel="0" collapsed="false">
      <c r="A8" s="1" t="n">
        <v>7</v>
      </c>
      <c r="B8" s="1" t="s">
        <v>101</v>
      </c>
      <c r="C8" s="1" t="n">
        <v>3</v>
      </c>
      <c r="D8" s="1" t="s">
        <v>102</v>
      </c>
      <c r="E8" s="1" t="s">
        <v>103</v>
      </c>
      <c r="F8" s="1" t="s">
        <v>95</v>
      </c>
      <c r="G8" s="1" t="n">
        <v>12</v>
      </c>
      <c r="H8" s="1" t="s">
        <v>74</v>
      </c>
      <c r="I8" s="1" t="n">
        <v>60</v>
      </c>
      <c r="J8" s="1" t="n">
        <v>20</v>
      </c>
      <c r="K8" s="1" t="s">
        <v>104</v>
      </c>
    </row>
    <row r="9" customFormat="false" ht="14.25" hidden="false" customHeight="false" outlineLevel="0" collapsed="false">
      <c r="A9" s="1" t="n">
        <v>8</v>
      </c>
      <c r="B9" s="1" t="s">
        <v>101</v>
      </c>
      <c r="C9" s="1" t="n">
        <v>3</v>
      </c>
      <c r="D9" s="1" t="s">
        <v>105</v>
      </c>
      <c r="E9" s="1" t="s">
        <v>106</v>
      </c>
      <c r="F9" s="1" t="s">
        <v>107</v>
      </c>
      <c r="G9" s="1" t="n">
        <v>15</v>
      </c>
      <c r="H9" s="1" t="s">
        <v>74</v>
      </c>
      <c r="I9" s="1" t="n">
        <v>35</v>
      </c>
      <c r="J9" s="1" t="n">
        <v>10</v>
      </c>
      <c r="K9" s="1" t="s">
        <v>108</v>
      </c>
    </row>
  </sheetData>
  <autoFilter ref="A1:K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159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975" activeCellId="0" sqref="E975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4" min="4" style="1" width="27.22"/>
    <col collapsed="false" customWidth="true" hidden="false" outlineLevel="0" max="5" min="5" style="1" width="21.66"/>
    <col collapsed="false" customWidth="true" hidden="false" outlineLevel="0" max="7" min="7" style="21" width="12.89"/>
  </cols>
  <sheetData>
    <row r="1" customFormat="false" ht="14.25" hidden="false" customHeight="false" outlineLevel="0" collapsed="false">
      <c r="A1" s="2" t="s">
        <v>20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2" t="s">
        <v>114</v>
      </c>
      <c r="H1" s="2" t="s">
        <v>115</v>
      </c>
      <c r="I1" s="2" t="s">
        <v>116</v>
      </c>
      <c r="J1" s="2" t="s">
        <v>41</v>
      </c>
      <c r="K1" s="2" t="s">
        <v>18</v>
      </c>
    </row>
    <row r="2" customFormat="false" ht="14.25" hidden="true" customHeight="false" outlineLevel="0" collapsed="false">
      <c r="A2" s="1" t="n">
        <v>2</v>
      </c>
      <c r="B2" s="1" t="s">
        <v>82</v>
      </c>
      <c r="C2" s="1" t="s">
        <v>117</v>
      </c>
      <c r="D2" s="23" t="s">
        <v>118</v>
      </c>
      <c r="E2" s="1" t="s">
        <v>119</v>
      </c>
      <c r="F2" s="2" t="s">
        <v>120</v>
      </c>
      <c r="G2" s="21" t="n">
        <f aca="false">K2/3.1416</f>
        <v>3.81970970206264</v>
      </c>
      <c r="H2" s="1" t="n">
        <v>0</v>
      </c>
      <c r="I2" s="2" t="s">
        <v>74</v>
      </c>
      <c r="J2" s="1" t="s">
        <v>121</v>
      </c>
      <c r="K2" s="1" t="n">
        <v>12</v>
      </c>
    </row>
    <row r="3" customFormat="false" ht="14.25" hidden="true" customHeight="false" outlineLevel="0" collapsed="false">
      <c r="A3" s="1" t="n">
        <v>3</v>
      </c>
      <c r="B3" s="1" t="s">
        <v>122</v>
      </c>
      <c r="C3" s="1" t="s">
        <v>117</v>
      </c>
      <c r="D3" s="23"/>
      <c r="G3" s="21" t="n">
        <f aca="false">K3/3.1416</f>
        <v>4.45632798573975</v>
      </c>
      <c r="H3" s="1" t="n">
        <v>0</v>
      </c>
      <c r="I3" s="2" t="s">
        <v>74</v>
      </c>
      <c r="J3" s="1" t="s">
        <v>121</v>
      </c>
      <c r="K3" s="1" t="n">
        <v>14</v>
      </c>
    </row>
    <row r="4" customFormat="false" ht="14.25" hidden="true" customHeight="false" outlineLevel="0" collapsed="false">
      <c r="A4" s="1" t="n">
        <v>4</v>
      </c>
      <c r="B4" s="1" t="s">
        <v>122</v>
      </c>
      <c r="C4" s="1" t="s">
        <v>117</v>
      </c>
      <c r="D4" s="23" t="s">
        <v>123</v>
      </c>
      <c r="E4" s="1" t="s">
        <v>124</v>
      </c>
      <c r="F4" s="2" t="s">
        <v>120</v>
      </c>
      <c r="G4" s="21" t="n">
        <f aca="false">K4/3.1416</f>
        <v>9.54927425515661</v>
      </c>
      <c r="H4" s="1" t="n">
        <v>0</v>
      </c>
      <c r="I4" s="2" t="s">
        <v>74</v>
      </c>
      <c r="J4" s="1" t="s">
        <v>121</v>
      </c>
      <c r="K4" s="1" t="n">
        <v>30</v>
      </c>
    </row>
    <row r="5" customFormat="false" ht="14.25" hidden="true" customHeight="false" outlineLevel="0" collapsed="false">
      <c r="A5" s="1" t="n">
        <v>5</v>
      </c>
      <c r="B5" s="1" t="s">
        <v>122</v>
      </c>
      <c r="C5" s="1" t="s">
        <v>117</v>
      </c>
      <c r="D5" s="23" t="s">
        <v>125</v>
      </c>
      <c r="E5" s="1" t="s">
        <v>126</v>
      </c>
      <c r="F5" s="2" t="s">
        <v>120</v>
      </c>
      <c r="G5" s="21" t="n">
        <f aca="false">K5/3.1416</f>
        <v>3.18309141838554</v>
      </c>
      <c r="H5" s="1" t="n">
        <v>0</v>
      </c>
      <c r="I5" s="2" t="s">
        <v>74</v>
      </c>
      <c r="J5" s="1" t="s">
        <v>121</v>
      </c>
      <c r="K5" s="1" t="n">
        <v>10</v>
      </c>
    </row>
    <row r="6" customFormat="false" ht="14.25" hidden="true" customHeight="false" outlineLevel="0" collapsed="false">
      <c r="A6" s="1" t="n">
        <v>6</v>
      </c>
      <c r="B6" s="1" t="s">
        <v>122</v>
      </c>
      <c r="C6" s="1" t="s">
        <v>117</v>
      </c>
      <c r="D6" s="23"/>
      <c r="G6" s="21" t="n">
        <f aca="false">K6/3.1416</f>
        <v>4.45632798573975</v>
      </c>
      <c r="H6" s="1" t="n">
        <v>6</v>
      </c>
      <c r="I6" s="2" t="s">
        <v>74</v>
      </c>
      <c r="J6" s="1" t="s">
        <v>121</v>
      </c>
      <c r="K6" s="1" t="n">
        <v>14</v>
      </c>
    </row>
    <row r="7" customFormat="false" ht="14.25" hidden="true" customHeight="false" outlineLevel="0" collapsed="false">
      <c r="A7" s="1" t="n">
        <v>11</v>
      </c>
      <c r="B7" s="1" t="s">
        <v>82</v>
      </c>
      <c r="C7" s="1" t="s">
        <v>117</v>
      </c>
      <c r="D7" s="23"/>
      <c r="G7" s="21" t="n">
        <f aca="false">K7/3.1416</f>
        <v>4.7746371275783</v>
      </c>
      <c r="H7" s="1" t="n">
        <v>6</v>
      </c>
      <c r="I7" s="1" t="s">
        <v>127</v>
      </c>
      <c r="J7" s="1" t="s">
        <v>121</v>
      </c>
      <c r="K7" s="1" t="n">
        <v>15</v>
      </c>
    </row>
    <row r="8" customFormat="false" ht="14.25" hidden="true" customHeight="false" outlineLevel="0" collapsed="false">
      <c r="A8" s="1" t="n">
        <v>12</v>
      </c>
      <c r="B8" s="1" t="s">
        <v>128</v>
      </c>
      <c r="C8" s="1" t="s">
        <v>117</v>
      </c>
      <c r="D8" s="23"/>
      <c r="G8" s="21" t="n">
        <f aca="false">K8/3.1416</f>
        <v>3.81970970206264</v>
      </c>
      <c r="H8" s="1" t="n">
        <v>5</v>
      </c>
      <c r="I8" s="1" t="s">
        <v>129</v>
      </c>
      <c r="J8" s="1" t="s">
        <v>130</v>
      </c>
      <c r="K8" s="1" t="n">
        <v>12</v>
      </c>
    </row>
    <row r="9" customFormat="false" ht="14.25" hidden="true" customHeight="false" outlineLevel="0" collapsed="false">
      <c r="A9" s="1" t="n">
        <v>14</v>
      </c>
      <c r="B9" s="1" t="s">
        <v>131</v>
      </c>
      <c r="C9" s="1" t="s">
        <v>117</v>
      </c>
      <c r="D9" s="23" t="s">
        <v>125</v>
      </c>
      <c r="E9" s="1" t="s">
        <v>126</v>
      </c>
      <c r="F9" s="1" t="s">
        <v>120</v>
      </c>
      <c r="G9" s="21" t="n">
        <f aca="false">K9/3.1416</f>
        <v>3.18309141838554</v>
      </c>
      <c r="H9" s="1" t="n">
        <v>5</v>
      </c>
      <c r="I9" s="1" t="s">
        <v>129</v>
      </c>
      <c r="J9" s="1" t="s">
        <v>130</v>
      </c>
      <c r="K9" s="1" t="n">
        <v>10</v>
      </c>
    </row>
    <row r="10" customFormat="false" ht="14.25" hidden="true" customHeight="false" outlineLevel="0" collapsed="false">
      <c r="A10" s="1" t="n">
        <v>14</v>
      </c>
      <c r="B10" s="1" t="s">
        <v>131</v>
      </c>
      <c r="C10" s="1" t="s">
        <v>117</v>
      </c>
      <c r="D10" s="23" t="s">
        <v>125</v>
      </c>
      <c r="E10" s="1" t="s">
        <v>126</v>
      </c>
      <c r="F10" s="1" t="s">
        <v>120</v>
      </c>
      <c r="G10" s="21" t="n">
        <f aca="false">K10/3.1416</f>
        <v>4.45632798573975</v>
      </c>
      <c r="H10" s="1" t="n">
        <v>5</v>
      </c>
      <c r="I10" s="1" t="s">
        <v>129</v>
      </c>
      <c r="J10" s="1" t="s">
        <v>130</v>
      </c>
      <c r="K10" s="1" t="n">
        <v>14</v>
      </c>
    </row>
    <row r="11" customFormat="false" ht="14.25" hidden="true" customHeight="false" outlineLevel="0" collapsed="false">
      <c r="A11" s="1" t="n">
        <v>16</v>
      </c>
      <c r="B11" s="1" t="s">
        <v>131</v>
      </c>
      <c r="C11" s="1" t="s">
        <v>117</v>
      </c>
      <c r="D11" s="23"/>
      <c r="G11" s="21" t="n">
        <f aca="false">K11/3.1416</f>
        <v>10.1858925388337</v>
      </c>
      <c r="H11" s="1" t="n">
        <v>12</v>
      </c>
      <c r="I11" s="1" t="s">
        <v>129</v>
      </c>
      <c r="J11" s="1" t="s">
        <v>74</v>
      </c>
      <c r="K11" s="1" t="n">
        <v>32</v>
      </c>
    </row>
    <row r="12" customFormat="false" ht="14.25" hidden="true" customHeight="false" outlineLevel="0" collapsed="false">
      <c r="A12" s="1" t="n">
        <v>17</v>
      </c>
      <c r="B12" s="1" t="s">
        <v>128</v>
      </c>
      <c r="C12" s="1" t="s">
        <v>117</v>
      </c>
      <c r="D12" s="23" t="s">
        <v>118</v>
      </c>
      <c r="E12" s="1" t="s">
        <v>119</v>
      </c>
      <c r="F12" s="1" t="s">
        <v>120</v>
      </c>
      <c r="G12" s="21" t="n">
        <f aca="false">K12/3.1416</f>
        <v>2.54647313470843</v>
      </c>
      <c r="H12" s="1" t="n">
        <v>4</v>
      </c>
      <c r="I12" s="1" t="s">
        <v>129</v>
      </c>
      <c r="J12" s="1" t="s">
        <v>130</v>
      </c>
      <c r="K12" s="1" t="n">
        <v>8</v>
      </c>
    </row>
    <row r="13" customFormat="false" ht="14.25" hidden="true" customHeight="false" outlineLevel="0" collapsed="false">
      <c r="A13" s="1" t="n">
        <v>17</v>
      </c>
      <c r="B13" s="1" t="s">
        <v>128</v>
      </c>
      <c r="C13" s="1" t="s">
        <v>117</v>
      </c>
      <c r="D13" s="23" t="s">
        <v>125</v>
      </c>
      <c r="E13" s="1" t="s">
        <v>126</v>
      </c>
      <c r="F13" s="1" t="s">
        <v>120</v>
      </c>
      <c r="G13" s="21" t="n">
        <f aca="false">K13/3.1416</f>
        <v>2.54647313470843</v>
      </c>
      <c r="H13" s="1" t="n">
        <v>4</v>
      </c>
      <c r="I13" s="1" t="s">
        <v>127</v>
      </c>
      <c r="J13" s="1" t="s">
        <v>130</v>
      </c>
      <c r="K13" s="1" t="n">
        <v>8</v>
      </c>
    </row>
    <row r="14" customFormat="false" ht="14.25" hidden="true" customHeight="false" outlineLevel="0" collapsed="false">
      <c r="A14" s="1" t="n">
        <v>18</v>
      </c>
      <c r="B14" s="1" t="s">
        <v>128</v>
      </c>
      <c r="C14" s="1" t="s">
        <v>117</v>
      </c>
      <c r="D14" s="23" t="s">
        <v>132</v>
      </c>
      <c r="E14" s="1" t="s">
        <v>133</v>
      </c>
      <c r="F14" s="1" t="s">
        <v>120</v>
      </c>
      <c r="G14" s="21" t="n">
        <f aca="false">K14/3.1416</f>
        <v>2.54647313470843</v>
      </c>
      <c r="H14" s="1" t="n">
        <v>5</v>
      </c>
      <c r="I14" s="1" t="s">
        <v>134</v>
      </c>
      <c r="J14" s="1" t="s">
        <v>130</v>
      </c>
      <c r="K14" s="1" t="n">
        <v>8</v>
      </c>
    </row>
    <row r="15" customFormat="false" ht="14.25" hidden="true" customHeight="false" outlineLevel="0" collapsed="false">
      <c r="A15" s="1" t="n">
        <v>20</v>
      </c>
      <c r="B15" s="1" t="s">
        <v>128</v>
      </c>
      <c r="C15" s="1" t="s">
        <v>117</v>
      </c>
      <c r="D15" s="23" t="s">
        <v>132</v>
      </c>
      <c r="E15" s="1" t="s">
        <v>133</v>
      </c>
      <c r="F15" s="1" t="s">
        <v>120</v>
      </c>
      <c r="G15" s="21" t="n">
        <f aca="false">K15/3.1416</f>
        <v>2.54647313470843</v>
      </c>
      <c r="H15" s="1" t="n">
        <v>4</v>
      </c>
      <c r="I15" s="1" t="s">
        <v>129</v>
      </c>
      <c r="J15" s="1" t="s">
        <v>130</v>
      </c>
      <c r="K15" s="1" t="n">
        <v>8</v>
      </c>
    </row>
    <row r="16" customFormat="false" ht="14.25" hidden="true" customHeight="false" outlineLevel="0" collapsed="false">
      <c r="A16" s="1" t="n">
        <v>22</v>
      </c>
      <c r="B16" s="1" t="s">
        <v>135</v>
      </c>
      <c r="C16" s="1" t="s">
        <v>117</v>
      </c>
      <c r="D16" s="23" t="s">
        <v>136</v>
      </c>
      <c r="E16" s="1" t="s">
        <v>137</v>
      </c>
      <c r="F16" s="1" t="s">
        <v>138</v>
      </c>
      <c r="G16" s="21" t="n">
        <f aca="false">K16/3.1416</f>
        <v>2.54647313470843</v>
      </c>
      <c r="H16" s="1" t="n">
        <v>3</v>
      </c>
      <c r="I16" s="1" t="s">
        <v>129</v>
      </c>
      <c r="J16" s="1" t="s">
        <v>121</v>
      </c>
      <c r="K16" s="1" t="n">
        <v>8</v>
      </c>
    </row>
    <row r="17" customFormat="false" ht="14.25" hidden="true" customHeight="false" outlineLevel="0" collapsed="false">
      <c r="A17" s="1" t="n">
        <v>22</v>
      </c>
      <c r="B17" s="1" t="s">
        <v>135</v>
      </c>
      <c r="C17" s="1" t="s">
        <v>117</v>
      </c>
      <c r="D17" s="23"/>
      <c r="G17" s="21" t="n">
        <f aca="false">K17/3.1416</f>
        <v>5.41125541125541</v>
      </c>
      <c r="H17" s="1" t="n">
        <v>7</v>
      </c>
      <c r="I17" s="1" t="s">
        <v>129</v>
      </c>
      <c r="J17" s="1" t="s">
        <v>121</v>
      </c>
      <c r="K17" s="1" t="n">
        <v>17</v>
      </c>
    </row>
    <row r="18" customFormat="false" ht="14.25" hidden="true" customHeight="false" outlineLevel="0" collapsed="false">
      <c r="A18" s="1" t="n">
        <v>23</v>
      </c>
      <c r="B18" s="1" t="s">
        <v>135</v>
      </c>
      <c r="C18" s="1" t="s">
        <v>117</v>
      </c>
      <c r="D18" s="23"/>
      <c r="G18" s="21" t="n">
        <f aca="false">K18/3.1416</f>
        <v>3.18309141838554</v>
      </c>
      <c r="H18" s="1" t="n">
        <v>7</v>
      </c>
      <c r="I18" s="1" t="s">
        <v>129</v>
      </c>
      <c r="J18" s="1" t="s">
        <v>121</v>
      </c>
      <c r="K18" s="1" t="n">
        <v>10</v>
      </c>
    </row>
    <row r="19" customFormat="false" ht="14.25" hidden="true" customHeight="false" outlineLevel="0" collapsed="false">
      <c r="A19" s="1" t="n">
        <v>23</v>
      </c>
      <c r="B19" s="1" t="s">
        <v>135</v>
      </c>
      <c r="C19" s="1" t="s">
        <v>117</v>
      </c>
      <c r="D19" s="23"/>
      <c r="E19" s="1" t="s">
        <v>139</v>
      </c>
      <c r="F19" s="1" t="s">
        <v>120</v>
      </c>
      <c r="G19" s="21" t="n">
        <f aca="false">K19/3.1416</f>
        <v>3.18309141838554</v>
      </c>
      <c r="H19" s="1" t="n">
        <v>6</v>
      </c>
      <c r="I19" s="1" t="s">
        <v>129</v>
      </c>
      <c r="J19" s="1" t="s">
        <v>121</v>
      </c>
      <c r="K19" s="1" t="n">
        <v>10</v>
      </c>
    </row>
    <row r="20" customFormat="false" ht="14.25" hidden="true" customHeight="false" outlineLevel="0" collapsed="false">
      <c r="A20" s="1" t="n">
        <v>24</v>
      </c>
      <c r="B20" s="1" t="s">
        <v>135</v>
      </c>
      <c r="C20" s="1" t="s">
        <v>117</v>
      </c>
      <c r="D20" s="23"/>
      <c r="G20" s="21" t="n">
        <f aca="false">K20/3.1416</f>
        <v>10.5042016806723</v>
      </c>
      <c r="H20" s="1" t="n">
        <v>8</v>
      </c>
      <c r="I20" s="1" t="s">
        <v>129</v>
      </c>
      <c r="J20" s="1" t="s">
        <v>121</v>
      </c>
      <c r="K20" s="1" t="n">
        <v>33</v>
      </c>
    </row>
    <row r="21" customFormat="false" ht="14.25" hidden="true" customHeight="false" outlineLevel="0" collapsed="false">
      <c r="A21" s="1" t="n">
        <v>24</v>
      </c>
      <c r="B21" s="1" t="s">
        <v>135</v>
      </c>
      <c r="C21" s="1" t="s">
        <v>117</v>
      </c>
      <c r="D21" s="23"/>
      <c r="G21" s="21" t="n">
        <f aca="false">K21/3.1416</f>
        <v>2.54647313470843</v>
      </c>
      <c r="H21" s="1" t="n">
        <v>5</v>
      </c>
      <c r="I21" s="1" t="s">
        <v>129</v>
      </c>
      <c r="J21" s="1" t="s">
        <v>121</v>
      </c>
      <c r="K21" s="1" t="n">
        <v>8</v>
      </c>
    </row>
    <row r="22" customFormat="false" ht="14.25" hidden="true" customHeight="false" outlineLevel="0" collapsed="false">
      <c r="A22" s="1" t="n">
        <v>24</v>
      </c>
      <c r="B22" s="1" t="s">
        <v>135</v>
      </c>
      <c r="C22" s="1" t="s">
        <v>117</v>
      </c>
      <c r="D22" s="23" t="s">
        <v>140</v>
      </c>
      <c r="E22" s="1" t="s">
        <v>126</v>
      </c>
      <c r="F22" s="1" t="s">
        <v>120</v>
      </c>
      <c r="G22" s="21" t="n">
        <f aca="false">K22/3.1416</f>
        <v>12.4140565317036</v>
      </c>
      <c r="H22" s="1" t="n">
        <v>8</v>
      </c>
      <c r="I22" s="1" t="s">
        <v>129</v>
      </c>
      <c r="J22" s="1" t="s">
        <v>121</v>
      </c>
      <c r="K22" s="1" t="n">
        <v>39</v>
      </c>
    </row>
    <row r="23" customFormat="false" ht="14.25" hidden="true" customHeight="false" outlineLevel="0" collapsed="false">
      <c r="A23" s="1" t="n">
        <v>5</v>
      </c>
      <c r="B23" s="1" t="s">
        <v>92</v>
      </c>
      <c r="C23" s="1" t="s">
        <v>117</v>
      </c>
      <c r="D23" s="23"/>
      <c r="G23" s="21" t="n">
        <f aca="false">ROUND(K23/PI(),0)</f>
        <v>8</v>
      </c>
      <c r="H23" s="1" t="n">
        <v>7</v>
      </c>
      <c r="I23" s="1" t="s">
        <v>129</v>
      </c>
      <c r="J23" s="1" t="s">
        <v>141</v>
      </c>
      <c r="K23" s="1" t="n">
        <v>24</v>
      </c>
    </row>
    <row r="24" customFormat="false" ht="14.25" hidden="true" customHeight="false" outlineLevel="0" collapsed="false">
      <c r="A24" s="1" t="n">
        <v>5</v>
      </c>
      <c r="B24" s="1" t="s">
        <v>92</v>
      </c>
      <c r="C24" s="1" t="s">
        <v>117</v>
      </c>
      <c r="D24" s="23"/>
      <c r="G24" s="21" t="n">
        <f aca="false">ROUND(K24/PI(),0)</f>
        <v>4</v>
      </c>
      <c r="H24" s="1" t="n">
        <v>7</v>
      </c>
      <c r="I24" s="1" t="s">
        <v>129</v>
      </c>
      <c r="J24" s="1" t="s">
        <v>141</v>
      </c>
      <c r="K24" s="1" t="n">
        <v>14</v>
      </c>
    </row>
    <row r="25" customFormat="false" ht="14.25" hidden="true" customHeight="false" outlineLevel="0" collapsed="false">
      <c r="A25" s="1" t="n">
        <v>6</v>
      </c>
      <c r="B25" s="1" t="s">
        <v>92</v>
      </c>
      <c r="C25" s="1" t="s">
        <v>117</v>
      </c>
      <c r="D25" s="23"/>
      <c r="G25" s="21" t="n">
        <f aca="false">ROUND(K25/PI(),0)</f>
        <v>5</v>
      </c>
      <c r="H25" s="1" t="n">
        <v>6</v>
      </c>
      <c r="I25" s="1" t="s">
        <v>129</v>
      </c>
      <c r="J25" s="1" t="s">
        <v>141</v>
      </c>
      <c r="K25" s="1" t="n">
        <v>16</v>
      </c>
    </row>
    <row r="26" customFormat="false" ht="14.25" hidden="true" customHeight="false" outlineLevel="0" collapsed="false">
      <c r="A26" s="1" t="n">
        <v>8</v>
      </c>
      <c r="B26" s="1" t="s">
        <v>101</v>
      </c>
      <c r="C26" s="1" t="s">
        <v>117</v>
      </c>
      <c r="D26" s="23"/>
      <c r="E26" s="1" t="s">
        <v>142</v>
      </c>
      <c r="F26" s="1" t="s">
        <v>120</v>
      </c>
      <c r="G26" s="21" t="n">
        <f aca="false">ROUND(K26/PI(),0)</f>
        <v>5</v>
      </c>
      <c r="H26" s="1" t="n">
        <v>7</v>
      </c>
      <c r="I26" s="1" t="s">
        <v>129</v>
      </c>
      <c r="J26" s="1" t="s">
        <v>141</v>
      </c>
      <c r="K26" s="1" t="n">
        <v>16</v>
      </c>
    </row>
    <row r="27" customFormat="false" ht="14.25" hidden="true" customHeight="false" outlineLevel="0" collapsed="false">
      <c r="A27" s="1" t="n">
        <v>8</v>
      </c>
      <c r="B27" s="1" t="s">
        <v>122</v>
      </c>
      <c r="C27" s="1" t="s">
        <v>143</v>
      </c>
      <c r="D27" s="23" t="s">
        <v>140</v>
      </c>
      <c r="E27" s="1" t="s">
        <v>126</v>
      </c>
      <c r="F27" s="2" t="s">
        <v>120</v>
      </c>
      <c r="G27" s="21" t="n">
        <f aca="false">K27/3.1416</f>
        <v>5.72956455309397</v>
      </c>
      <c r="H27" s="1" t="n">
        <v>7</v>
      </c>
      <c r="I27" s="2" t="s">
        <v>127</v>
      </c>
      <c r="J27" s="1" t="s">
        <v>130</v>
      </c>
      <c r="K27" s="1" t="n">
        <v>18</v>
      </c>
    </row>
    <row r="28" customFormat="false" ht="14.25" hidden="true" customHeight="false" outlineLevel="0" collapsed="false">
      <c r="A28" s="1" t="n">
        <v>12</v>
      </c>
      <c r="B28" s="1" t="s">
        <v>128</v>
      </c>
      <c r="C28" s="1" t="s">
        <v>143</v>
      </c>
      <c r="D28" s="23" t="s">
        <v>140</v>
      </c>
      <c r="E28" s="1" t="s">
        <v>126</v>
      </c>
      <c r="F28" s="1" t="s">
        <v>120</v>
      </c>
      <c r="G28" s="21" t="n">
        <f aca="false">K28/3.1416</f>
        <v>10.1858925388337</v>
      </c>
      <c r="H28" s="1" t="n">
        <v>10</v>
      </c>
      <c r="I28" s="1" t="s">
        <v>129</v>
      </c>
      <c r="J28" s="1" t="s">
        <v>130</v>
      </c>
      <c r="K28" s="1" t="n">
        <v>32</v>
      </c>
    </row>
    <row r="29" customFormat="false" ht="14.25" hidden="true" customHeight="false" outlineLevel="0" collapsed="false">
      <c r="A29" s="1" t="n">
        <v>22</v>
      </c>
      <c r="B29" s="1" t="s">
        <v>135</v>
      </c>
      <c r="C29" s="1" t="s">
        <v>143</v>
      </c>
      <c r="D29" s="23" t="s">
        <v>140</v>
      </c>
      <c r="E29" s="1" t="s">
        <v>126</v>
      </c>
      <c r="F29" s="2" t="s">
        <v>120</v>
      </c>
      <c r="G29" s="21" t="n">
        <f aca="false">K29/3.1416</f>
        <v>8.27603768780239</v>
      </c>
      <c r="H29" s="1" t="n">
        <v>7</v>
      </c>
      <c r="I29" s="1" t="s">
        <v>129</v>
      </c>
      <c r="J29" s="1" t="s">
        <v>130</v>
      </c>
      <c r="K29" s="1" t="n">
        <v>26</v>
      </c>
    </row>
    <row r="30" customFormat="false" ht="14.25" hidden="true" customHeight="false" outlineLevel="0" collapsed="false">
      <c r="A30" s="1" t="n">
        <v>22</v>
      </c>
      <c r="B30" s="1" t="s">
        <v>135</v>
      </c>
      <c r="C30" s="1" t="s">
        <v>143</v>
      </c>
      <c r="D30" s="23" t="s">
        <v>140</v>
      </c>
      <c r="E30" s="1" t="s">
        <v>126</v>
      </c>
      <c r="F30" s="2" t="s">
        <v>120</v>
      </c>
      <c r="G30" s="21" t="n">
        <f aca="false">K30/3.1416</f>
        <v>4.45632798573975</v>
      </c>
      <c r="H30" s="1" t="n">
        <v>7</v>
      </c>
      <c r="I30" s="1" t="s">
        <v>129</v>
      </c>
      <c r="J30" s="1" t="s">
        <v>130</v>
      </c>
      <c r="K30" s="1" t="n">
        <v>14</v>
      </c>
    </row>
    <row r="31" customFormat="false" ht="14.25" hidden="true" customHeight="false" outlineLevel="0" collapsed="false">
      <c r="A31" s="1" t="n">
        <v>7</v>
      </c>
      <c r="B31" s="1" t="s">
        <v>122</v>
      </c>
      <c r="C31" s="1" t="s">
        <v>144</v>
      </c>
      <c r="D31" s="23"/>
      <c r="E31" s="1" t="s">
        <v>145</v>
      </c>
      <c r="F31" s="2" t="s">
        <v>120</v>
      </c>
      <c r="G31" s="21" t="n">
        <f aca="false">K31/3.1416</f>
        <v>2.54647313470843</v>
      </c>
      <c r="H31" s="1" t="n">
        <v>3</v>
      </c>
      <c r="I31" s="2" t="s">
        <v>74</v>
      </c>
      <c r="J31" s="1" t="s">
        <v>74</v>
      </c>
      <c r="K31" s="1" t="n">
        <v>8</v>
      </c>
    </row>
    <row r="32" customFormat="false" ht="14.25" hidden="true" customHeight="false" outlineLevel="0" collapsed="false">
      <c r="A32" s="1" t="n">
        <v>31</v>
      </c>
      <c r="B32" s="1" t="s">
        <v>131</v>
      </c>
      <c r="C32" s="1" t="s">
        <v>146</v>
      </c>
      <c r="D32" s="23" t="s">
        <v>147</v>
      </c>
      <c r="E32" s="1" t="s">
        <v>148</v>
      </c>
      <c r="F32" s="1" t="s">
        <v>138</v>
      </c>
      <c r="G32" s="21" t="n">
        <f aca="false">K32/3.1416</f>
        <v>3.18309141838554</v>
      </c>
      <c r="H32" s="1" t="n">
        <v>7</v>
      </c>
      <c r="I32" s="1" t="s">
        <v>127</v>
      </c>
      <c r="J32" s="1" t="s">
        <v>149</v>
      </c>
      <c r="K32" s="1" t="n">
        <v>10</v>
      </c>
    </row>
    <row r="33" customFormat="false" ht="14.25" hidden="true" customHeight="false" outlineLevel="0" collapsed="false">
      <c r="A33" s="1" t="n">
        <v>5</v>
      </c>
      <c r="B33" s="1" t="s">
        <v>92</v>
      </c>
      <c r="C33" s="1" t="s">
        <v>146</v>
      </c>
      <c r="D33" s="23" t="s">
        <v>150</v>
      </c>
      <c r="E33" s="1" t="s">
        <v>151</v>
      </c>
      <c r="F33" s="1" t="s">
        <v>120</v>
      </c>
      <c r="G33" s="21" t="n">
        <f aca="false">ROUND(K33/PI(),0)</f>
        <v>3</v>
      </c>
      <c r="H33" s="1" t="n">
        <v>2.5</v>
      </c>
      <c r="I33" s="1" t="s">
        <v>127</v>
      </c>
      <c r="J33" s="1" t="s">
        <v>152</v>
      </c>
      <c r="K33" s="1" t="n">
        <v>8.5</v>
      </c>
    </row>
    <row r="34" customFormat="false" ht="14.25" hidden="true" customHeight="false" outlineLevel="0" collapsed="false">
      <c r="A34" s="1" t="n">
        <v>5</v>
      </c>
      <c r="B34" s="1" t="s">
        <v>92</v>
      </c>
      <c r="C34" s="1" t="s">
        <v>146</v>
      </c>
      <c r="D34" s="23" t="s">
        <v>150</v>
      </c>
      <c r="E34" s="1" t="s">
        <v>151</v>
      </c>
      <c r="F34" s="1" t="s">
        <v>120</v>
      </c>
      <c r="G34" s="21" t="n">
        <f aca="false">ROUND(K34/PI(),0)</f>
        <v>5</v>
      </c>
      <c r="H34" s="1" t="n">
        <v>6</v>
      </c>
      <c r="I34" s="1" t="s">
        <v>129</v>
      </c>
      <c r="J34" s="1" t="s">
        <v>152</v>
      </c>
      <c r="K34" s="1" t="n">
        <v>15</v>
      </c>
    </row>
    <row r="35" customFormat="false" ht="14.25" hidden="true" customHeight="false" outlineLevel="0" collapsed="false">
      <c r="A35" s="1" t="n">
        <v>6</v>
      </c>
      <c r="B35" s="1" t="s">
        <v>122</v>
      </c>
      <c r="C35" s="1" t="s">
        <v>153</v>
      </c>
      <c r="D35" s="23" t="s">
        <v>154</v>
      </c>
      <c r="E35" s="1" t="s">
        <v>155</v>
      </c>
      <c r="F35" s="2" t="s">
        <v>120</v>
      </c>
      <c r="G35" s="21" t="n">
        <f aca="false">K35/3.1416</f>
        <v>12.7323656735421</v>
      </c>
      <c r="H35" s="1" t="n">
        <v>15</v>
      </c>
      <c r="I35" s="2" t="s">
        <v>74</v>
      </c>
      <c r="J35" s="1" t="s">
        <v>130</v>
      </c>
      <c r="K35" s="1" t="n">
        <v>40</v>
      </c>
    </row>
    <row r="36" customFormat="false" ht="14.25" hidden="true" customHeight="false" outlineLevel="0" collapsed="false">
      <c r="A36" s="1" t="n">
        <v>15</v>
      </c>
      <c r="B36" s="1" t="s">
        <v>131</v>
      </c>
      <c r="C36" s="1" t="s">
        <v>153</v>
      </c>
      <c r="D36" s="23" t="s">
        <v>154</v>
      </c>
      <c r="E36" s="1" t="s">
        <v>155</v>
      </c>
      <c r="F36" s="1" t="s">
        <v>120</v>
      </c>
      <c r="G36" s="21" t="n">
        <f aca="false">K36/3.1416</f>
        <v>7.32111026228673</v>
      </c>
      <c r="H36" s="1" t="n">
        <v>8</v>
      </c>
      <c r="I36" s="1" t="s">
        <v>129</v>
      </c>
      <c r="J36" s="1" t="s">
        <v>130</v>
      </c>
      <c r="K36" s="1" t="n">
        <v>23</v>
      </c>
    </row>
    <row r="37" customFormat="false" ht="14.25" hidden="true" customHeight="false" outlineLevel="0" collapsed="false">
      <c r="A37" s="1" t="n">
        <v>15</v>
      </c>
      <c r="B37" s="1" t="s">
        <v>131</v>
      </c>
      <c r="C37" s="1" t="s">
        <v>153</v>
      </c>
      <c r="D37" s="23" t="s">
        <v>154</v>
      </c>
      <c r="E37" s="1" t="s">
        <v>155</v>
      </c>
      <c r="F37" s="1" t="s">
        <v>120</v>
      </c>
      <c r="G37" s="21" t="n">
        <f aca="false">K37/3.1416</f>
        <v>8.27603768780239</v>
      </c>
      <c r="H37" s="1" t="n">
        <v>7</v>
      </c>
      <c r="I37" s="1" t="s">
        <v>127</v>
      </c>
      <c r="J37" s="1" t="s">
        <v>130</v>
      </c>
      <c r="K37" s="1" t="n">
        <v>26</v>
      </c>
    </row>
    <row r="38" customFormat="false" ht="14.25" hidden="true" customHeight="false" outlineLevel="0" collapsed="false">
      <c r="A38" s="1" t="n">
        <v>15</v>
      </c>
      <c r="B38" s="1" t="s">
        <v>131</v>
      </c>
      <c r="C38" s="1" t="s">
        <v>153</v>
      </c>
      <c r="D38" s="23" t="s">
        <v>154</v>
      </c>
      <c r="E38" s="1" t="s">
        <v>155</v>
      </c>
      <c r="F38" s="1" t="s">
        <v>120</v>
      </c>
      <c r="G38" s="21" t="n">
        <f aca="false">K38/3.1416</f>
        <v>2.54647313470843</v>
      </c>
      <c r="H38" s="1" t="n">
        <v>4</v>
      </c>
      <c r="I38" s="1" t="s">
        <v>127</v>
      </c>
      <c r="J38" s="1" t="s">
        <v>130</v>
      </c>
      <c r="K38" s="1" t="n">
        <v>8</v>
      </c>
    </row>
    <row r="39" customFormat="false" ht="14.25" hidden="true" customHeight="false" outlineLevel="0" collapsed="false">
      <c r="A39" s="1" t="n">
        <v>15</v>
      </c>
      <c r="B39" s="1" t="s">
        <v>131</v>
      </c>
      <c r="C39" s="1" t="s">
        <v>153</v>
      </c>
      <c r="D39" s="23" t="s">
        <v>154</v>
      </c>
      <c r="E39" s="1" t="s">
        <v>155</v>
      </c>
      <c r="F39" s="1" t="s">
        <v>120</v>
      </c>
      <c r="G39" s="21" t="n">
        <f aca="false">K39/3.1416</f>
        <v>4.7746371275783</v>
      </c>
      <c r="H39" s="1" t="n">
        <v>6</v>
      </c>
      <c r="I39" s="1" t="s">
        <v>129</v>
      </c>
      <c r="J39" s="1" t="s">
        <v>130</v>
      </c>
      <c r="K39" s="1" t="n">
        <v>15</v>
      </c>
    </row>
    <row r="40" customFormat="false" ht="14.25" hidden="true" customHeight="false" outlineLevel="0" collapsed="false">
      <c r="A40" s="1" t="n">
        <v>20</v>
      </c>
      <c r="B40" s="1" t="s">
        <v>128</v>
      </c>
      <c r="C40" s="1" t="s">
        <v>153</v>
      </c>
      <c r="D40" s="23" t="s">
        <v>154</v>
      </c>
      <c r="E40" s="1" t="s">
        <v>155</v>
      </c>
      <c r="F40" s="1" t="s">
        <v>120</v>
      </c>
      <c r="G40" s="21" t="n">
        <f aca="false">K40/3.1416</f>
        <v>3.50140056022409</v>
      </c>
      <c r="H40" s="1" t="n">
        <v>6</v>
      </c>
      <c r="I40" s="1" t="s">
        <v>129</v>
      </c>
      <c r="J40" s="1" t="s">
        <v>130</v>
      </c>
      <c r="K40" s="1" t="n">
        <v>11</v>
      </c>
    </row>
    <row r="41" customFormat="false" ht="14.25" hidden="true" customHeight="false" outlineLevel="0" collapsed="false">
      <c r="A41" s="1" t="n">
        <v>20</v>
      </c>
      <c r="B41" s="1" t="s">
        <v>128</v>
      </c>
      <c r="C41" s="1" t="s">
        <v>153</v>
      </c>
      <c r="D41" s="23" t="s">
        <v>154</v>
      </c>
      <c r="E41" s="1" t="s">
        <v>155</v>
      </c>
      <c r="F41" s="1" t="s">
        <v>120</v>
      </c>
      <c r="G41" s="21" t="n">
        <f aca="false">K41/3.1416</f>
        <v>10.8225108225108</v>
      </c>
      <c r="H41" s="1" t="n">
        <v>8</v>
      </c>
      <c r="I41" s="1" t="s">
        <v>129</v>
      </c>
      <c r="J41" s="1" t="s">
        <v>130</v>
      </c>
      <c r="K41" s="1" t="n">
        <v>34</v>
      </c>
    </row>
    <row r="42" customFormat="false" ht="14.25" hidden="true" customHeight="false" outlineLevel="0" collapsed="false">
      <c r="A42" s="1" t="n">
        <v>22</v>
      </c>
      <c r="B42" s="1" t="s">
        <v>135</v>
      </c>
      <c r="C42" s="1" t="s">
        <v>153</v>
      </c>
      <c r="D42" s="23" t="s">
        <v>154</v>
      </c>
      <c r="E42" s="1" t="s">
        <v>155</v>
      </c>
      <c r="F42" s="1" t="s">
        <v>120</v>
      </c>
      <c r="G42" s="21" t="n">
        <f aca="false">K42/3.1416</f>
        <v>3.50140056022409</v>
      </c>
      <c r="H42" s="1" t="n">
        <v>8</v>
      </c>
      <c r="I42" s="1" t="s">
        <v>129</v>
      </c>
      <c r="J42" s="1" t="s">
        <v>130</v>
      </c>
      <c r="K42" s="1" t="n">
        <v>11</v>
      </c>
    </row>
    <row r="43" customFormat="false" ht="14.25" hidden="true" customHeight="false" outlineLevel="0" collapsed="false">
      <c r="A43" s="1" t="n">
        <v>24</v>
      </c>
      <c r="B43" s="1" t="s">
        <v>135</v>
      </c>
      <c r="C43" s="1" t="s">
        <v>153</v>
      </c>
      <c r="D43" s="23"/>
      <c r="E43" s="1" t="s">
        <v>156</v>
      </c>
      <c r="F43" s="1" t="s">
        <v>120</v>
      </c>
      <c r="G43" s="21" t="n">
        <f aca="false">K43/3.1416</f>
        <v>3.50140056022409</v>
      </c>
      <c r="H43" s="1" t="n">
        <v>4</v>
      </c>
      <c r="I43" s="1" t="s">
        <v>134</v>
      </c>
      <c r="J43" s="1" t="s">
        <v>130</v>
      </c>
      <c r="K43" s="1" t="n">
        <v>11</v>
      </c>
    </row>
    <row r="44" customFormat="false" ht="14.25" hidden="true" customHeight="false" outlineLevel="0" collapsed="false">
      <c r="A44" s="1" t="n">
        <v>26</v>
      </c>
      <c r="B44" s="1" t="s">
        <v>135</v>
      </c>
      <c r="C44" s="1" t="s">
        <v>153</v>
      </c>
      <c r="D44" s="23"/>
      <c r="G44" s="21" t="n">
        <f aca="false">K44/3.1416</f>
        <v>8.27603768780239</v>
      </c>
      <c r="H44" s="1" t="n">
        <v>8</v>
      </c>
      <c r="I44" s="1" t="s">
        <v>127</v>
      </c>
      <c r="J44" s="1" t="s">
        <v>130</v>
      </c>
      <c r="K44" s="1" t="n">
        <v>26</v>
      </c>
    </row>
    <row r="45" customFormat="false" ht="14.25" hidden="true" customHeight="false" outlineLevel="0" collapsed="false">
      <c r="A45" s="1" t="n">
        <v>31</v>
      </c>
      <c r="B45" s="1" t="s">
        <v>131</v>
      </c>
      <c r="C45" s="1" t="s">
        <v>153</v>
      </c>
      <c r="D45" s="23" t="s">
        <v>154</v>
      </c>
      <c r="E45" s="1" t="s">
        <v>155</v>
      </c>
      <c r="F45" s="1" t="s">
        <v>120</v>
      </c>
      <c r="G45" s="21" t="n">
        <f aca="false">K45/3.1416</f>
        <v>7.32111026228673</v>
      </c>
      <c r="H45" s="1" t="n">
        <v>8</v>
      </c>
      <c r="I45" s="1" t="s">
        <v>127</v>
      </c>
      <c r="J45" s="1" t="s">
        <v>130</v>
      </c>
      <c r="K45" s="1" t="n">
        <v>23</v>
      </c>
    </row>
    <row r="46" customFormat="false" ht="14.25" hidden="true" customHeight="false" outlineLevel="0" collapsed="false">
      <c r="A46" s="1" t="n">
        <v>2</v>
      </c>
      <c r="B46" s="1" t="s">
        <v>72</v>
      </c>
      <c r="C46" s="1" t="s">
        <v>153</v>
      </c>
      <c r="D46" s="23"/>
      <c r="E46" s="1" t="s">
        <v>157</v>
      </c>
      <c r="F46" s="1" t="s">
        <v>120</v>
      </c>
      <c r="G46" s="21" t="n">
        <f aca="false">ROUND(K46/PI(),0)</f>
        <v>4</v>
      </c>
      <c r="H46" s="1" t="n">
        <v>5</v>
      </c>
      <c r="I46" s="1" t="s">
        <v>129</v>
      </c>
      <c r="J46" s="1" t="s">
        <v>158</v>
      </c>
      <c r="K46" s="1" t="n">
        <v>12</v>
      </c>
    </row>
    <row r="47" customFormat="false" ht="14.25" hidden="true" customHeight="false" outlineLevel="0" collapsed="false">
      <c r="A47" s="1" t="n">
        <v>4</v>
      </c>
      <c r="B47" s="1" t="s">
        <v>82</v>
      </c>
      <c r="C47" s="1" t="s">
        <v>153</v>
      </c>
      <c r="D47" s="23" t="s">
        <v>154</v>
      </c>
      <c r="E47" s="1" t="s">
        <v>155</v>
      </c>
      <c r="F47" s="1" t="s">
        <v>120</v>
      </c>
      <c r="G47" s="21" t="n">
        <f aca="false">ROUND(K47/PI(),0)</f>
        <v>19</v>
      </c>
      <c r="H47" s="1" t="n">
        <v>15</v>
      </c>
      <c r="I47" s="1" t="s">
        <v>129</v>
      </c>
      <c r="J47" s="1" t="s">
        <v>149</v>
      </c>
      <c r="K47" s="1" t="n">
        <v>60</v>
      </c>
    </row>
    <row r="48" customFormat="false" ht="14.25" hidden="true" customHeight="false" outlineLevel="0" collapsed="false">
      <c r="A48" s="1" t="n">
        <v>4</v>
      </c>
      <c r="B48" s="1" t="s">
        <v>82</v>
      </c>
      <c r="C48" s="1" t="s">
        <v>153</v>
      </c>
      <c r="D48" s="23" t="s">
        <v>154</v>
      </c>
      <c r="E48" s="1" t="s">
        <v>155</v>
      </c>
      <c r="F48" s="1" t="s">
        <v>120</v>
      </c>
      <c r="G48" s="21" t="n">
        <f aca="false">ROUND(K48/PI(),0)</f>
        <v>3</v>
      </c>
      <c r="H48" s="1" t="n">
        <v>5</v>
      </c>
      <c r="I48" s="1" t="s">
        <v>129</v>
      </c>
      <c r="J48" s="1" t="s">
        <v>149</v>
      </c>
      <c r="K48" s="1" t="n">
        <v>9</v>
      </c>
    </row>
    <row r="49" customFormat="false" ht="14.25" hidden="true" customHeight="false" outlineLevel="0" collapsed="false">
      <c r="A49" s="1" t="n">
        <v>7</v>
      </c>
      <c r="B49" s="1" t="s">
        <v>101</v>
      </c>
      <c r="C49" s="1" t="s">
        <v>153</v>
      </c>
      <c r="D49" s="23" t="s">
        <v>154</v>
      </c>
      <c r="E49" s="1" t="s">
        <v>155</v>
      </c>
      <c r="F49" s="1" t="s">
        <v>120</v>
      </c>
      <c r="G49" s="21" t="n">
        <f aca="false">ROUND(K49/PI(),0)</f>
        <v>11</v>
      </c>
      <c r="H49" s="1" t="n">
        <v>10</v>
      </c>
      <c r="I49" s="1" t="s">
        <v>129</v>
      </c>
      <c r="J49" s="1" t="s">
        <v>149</v>
      </c>
      <c r="K49" s="1" t="n">
        <v>36</v>
      </c>
    </row>
    <row r="50" customFormat="false" ht="14.25" hidden="true" customHeight="false" outlineLevel="0" collapsed="false">
      <c r="A50" s="1" t="n">
        <v>8</v>
      </c>
      <c r="B50" s="1" t="s">
        <v>101</v>
      </c>
      <c r="C50" s="1" t="s">
        <v>153</v>
      </c>
      <c r="D50" s="23" t="s">
        <v>159</v>
      </c>
      <c r="E50" s="1" t="s">
        <v>160</v>
      </c>
      <c r="F50" s="1" t="s">
        <v>120</v>
      </c>
      <c r="G50" s="21" t="n">
        <f aca="false">ROUND(K50/PI(),0)</f>
        <v>4</v>
      </c>
      <c r="H50" s="1" t="n">
        <v>5</v>
      </c>
      <c r="I50" s="1" t="s">
        <v>129</v>
      </c>
      <c r="J50" s="1" t="s">
        <v>141</v>
      </c>
      <c r="K50" s="1" t="n">
        <v>14</v>
      </c>
    </row>
    <row r="51" customFormat="false" ht="14.25" hidden="true" customHeight="false" outlineLevel="0" collapsed="false">
      <c r="A51" s="1" t="n">
        <v>8</v>
      </c>
      <c r="B51" s="1" t="s">
        <v>101</v>
      </c>
      <c r="C51" s="1" t="s">
        <v>153</v>
      </c>
      <c r="D51" s="23" t="s">
        <v>154</v>
      </c>
      <c r="E51" s="1" t="s">
        <v>155</v>
      </c>
      <c r="F51" s="1" t="s">
        <v>120</v>
      </c>
      <c r="G51" s="21" t="n">
        <f aca="false">ROUND(K51/PI(),0)</f>
        <v>10</v>
      </c>
      <c r="H51" s="1" t="n">
        <v>10</v>
      </c>
      <c r="I51" s="1" t="s">
        <v>129</v>
      </c>
      <c r="J51" s="1" t="s">
        <v>141</v>
      </c>
      <c r="K51" s="1" t="n">
        <v>32</v>
      </c>
    </row>
    <row r="52" customFormat="false" ht="14.25" hidden="true" customHeight="false" outlineLevel="0" collapsed="false">
      <c r="A52" s="1" t="n">
        <v>2</v>
      </c>
      <c r="B52" s="1" t="s">
        <v>72</v>
      </c>
      <c r="C52" s="1" t="s">
        <v>161</v>
      </c>
      <c r="D52" s="23"/>
      <c r="G52" s="21" t="n">
        <f aca="false">ROUND(K52/PI(),0)</f>
        <v>3</v>
      </c>
      <c r="H52" s="1" t="n">
        <v>4</v>
      </c>
      <c r="I52" s="1" t="s">
        <v>129</v>
      </c>
      <c r="J52" s="1" t="s">
        <v>162</v>
      </c>
      <c r="K52" s="1" t="n">
        <v>9</v>
      </c>
    </row>
    <row r="53" customFormat="false" ht="14.25" hidden="true" customHeight="false" outlineLevel="0" collapsed="false">
      <c r="A53" s="1" t="n">
        <v>17</v>
      </c>
      <c r="B53" s="1" t="s">
        <v>128</v>
      </c>
      <c r="C53" s="1" t="s">
        <v>163</v>
      </c>
      <c r="D53" s="23" t="s">
        <v>164</v>
      </c>
      <c r="E53" s="1" t="s">
        <v>165</v>
      </c>
      <c r="F53" s="1" t="s">
        <v>120</v>
      </c>
      <c r="G53" s="21" t="n">
        <f aca="false">K53/3.1416</f>
        <v>2.54647313470843</v>
      </c>
      <c r="H53" s="1" t="n">
        <v>3</v>
      </c>
      <c r="I53" s="1" t="s">
        <v>134</v>
      </c>
      <c r="J53" s="1" t="s">
        <v>130</v>
      </c>
      <c r="K53" s="1" t="n">
        <v>8</v>
      </c>
    </row>
    <row r="54" customFormat="false" ht="14.25" hidden="true" customHeight="false" outlineLevel="0" collapsed="false">
      <c r="A54" s="1" t="n">
        <v>18</v>
      </c>
      <c r="B54" s="1" t="s">
        <v>128</v>
      </c>
      <c r="C54" s="1" t="s">
        <v>163</v>
      </c>
      <c r="D54" s="23" t="s">
        <v>166</v>
      </c>
      <c r="E54" s="1" t="s">
        <v>167</v>
      </c>
      <c r="F54" s="1" t="s">
        <v>120</v>
      </c>
      <c r="G54" s="21" t="n">
        <f aca="false">K54/3.1416</f>
        <v>4.1380188439012</v>
      </c>
      <c r="H54" s="1" t="n">
        <v>6</v>
      </c>
      <c r="I54" s="1" t="s">
        <v>129</v>
      </c>
      <c r="J54" s="1" t="s">
        <v>130</v>
      </c>
      <c r="K54" s="1" t="n">
        <v>13</v>
      </c>
    </row>
    <row r="55" customFormat="false" ht="14.25" hidden="true" customHeight="false" outlineLevel="0" collapsed="false">
      <c r="A55" s="1" t="n">
        <v>19</v>
      </c>
      <c r="B55" s="1" t="s">
        <v>128</v>
      </c>
      <c r="C55" s="1" t="s">
        <v>163</v>
      </c>
      <c r="D55" s="23"/>
      <c r="G55" s="21" t="n">
        <f aca="false">K55/3.1416</f>
        <v>2.86478227654698</v>
      </c>
      <c r="H55" s="1" t="n">
        <v>6</v>
      </c>
      <c r="I55" s="1" t="s">
        <v>127</v>
      </c>
      <c r="J55" s="1" t="s">
        <v>130</v>
      </c>
      <c r="K55" s="1" t="n">
        <v>9</v>
      </c>
    </row>
    <row r="56" customFormat="false" ht="14.25" hidden="true" customHeight="false" outlineLevel="0" collapsed="false">
      <c r="A56" s="1" t="n">
        <v>23</v>
      </c>
      <c r="B56" s="1" t="s">
        <v>135</v>
      </c>
      <c r="C56" s="1" t="s">
        <v>163</v>
      </c>
      <c r="D56" s="23"/>
      <c r="G56" s="21" t="n">
        <f aca="false">K56/3.1416</f>
        <v>2.54647313470843</v>
      </c>
      <c r="H56" s="1" t="n">
        <v>4</v>
      </c>
      <c r="I56" s="1" t="s">
        <v>127</v>
      </c>
      <c r="J56" s="1" t="s">
        <v>130</v>
      </c>
      <c r="K56" s="1" t="n">
        <v>8</v>
      </c>
    </row>
    <row r="57" customFormat="false" ht="14.25" hidden="true" customHeight="false" outlineLevel="0" collapsed="false">
      <c r="A57" s="1" t="n">
        <v>23</v>
      </c>
      <c r="B57" s="1" t="s">
        <v>135</v>
      </c>
      <c r="C57" s="1" t="s">
        <v>163</v>
      </c>
      <c r="D57" s="23"/>
      <c r="G57" s="21" t="n">
        <f aca="false">K57/3.1416</f>
        <v>2.54647313470843</v>
      </c>
      <c r="H57" s="1" t="n">
        <v>3</v>
      </c>
      <c r="I57" s="1" t="s">
        <v>129</v>
      </c>
      <c r="J57" s="1" t="s">
        <v>130</v>
      </c>
      <c r="K57" s="1" t="n">
        <v>8</v>
      </c>
    </row>
    <row r="58" customFormat="false" ht="14.25" hidden="true" customHeight="false" outlineLevel="0" collapsed="false">
      <c r="A58" s="1" t="n">
        <v>23</v>
      </c>
      <c r="B58" s="1" t="s">
        <v>135</v>
      </c>
      <c r="C58" s="1" t="s">
        <v>163</v>
      </c>
      <c r="D58" s="23" t="s">
        <v>168</v>
      </c>
      <c r="E58" s="1" t="s">
        <v>169</v>
      </c>
      <c r="F58" s="1" t="s">
        <v>120</v>
      </c>
      <c r="G58" s="21" t="n">
        <f aca="false">K58/3.1416</f>
        <v>2.54647313470843</v>
      </c>
      <c r="H58" s="1" t="n">
        <v>3</v>
      </c>
      <c r="I58" s="1" t="s">
        <v>129</v>
      </c>
      <c r="J58" s="1" t="s">
        <v>130</v>
      </c>
      <c r="K58" s="1" t="n">
        <v>8</v>
      </c>
    </row>
    <row r="59" customFormat="false" ht="14.25" hidden="true" customHeight="false" outlineLevel="0" collapsed="false">
      <c r="A59" s="1" t="n">
        <v>27</v>
      </c>
      <c r="B59" s="1" t="s">
        <v>82</v>
      </c>
      <c r="C59" s="1" t="s">
        <v>163</v>
      </c>
      <c r="D59" s="23"/>
      <c r="G59" s="21" t="n">
        <f aca="false">K59/3.1416</f>
        <v>3.50140056022409</v>
      </c>
      <c r="H59" s="1" t="n">
        <v>5</v>
      </c>
      <c r="I59" s="1" t="s">
        <v>129</v>
      </c>
      <c r="J59" s="1" t="s">
        <v>130</v>
      </c>
      <c r="K59" s="1" t="n">
        <v>11</v>
      </c>
    </row>
    <row r="60" customFormat="false" ht="14.25" hidden="true" customHeight="false" outlineLevel="0" collapsed="false">
      <c r="A60" s="1" t="n">
        <v>29</v>
      </c>
      <c r="B60" s="1" t="s">
        <v>131</v>
      </c>
      <c r="C60" s="1" t="s">
        <v>163</v>
      </c>
      <c r="D60" s="23" t="s">
        <v>170</v>
      </c>
      <c r="E60" s="1" t="s">
        <v>156</v>
      </c>
      <c r="F60" s="1" t="s">
        <v>120</v>
      </c>
      <c r="G60" s="21" t="n">
        <f aca="false">K60/3.1416</f>
        <v>2.54647313470843</v>
      </c>
      <c r="H60" s="1" t="n">
        <v>4</v>
      </c>
      <c r="I60" s="1" t="s">
        <v>134</v>
      </c>
      <c r="J60" s="1" t="s">
        <v>130</v>
      </c>
      <c r="K60" s="1" t="n">
        <v>8</v>
      </c>
    </row>
    <row r="61" customFormat="false" ht="14.25" hidden="true" customHeight="false" outlineLevel="0" collapsed="false">
      <c r="A61" s="1" t="n">
        <v>29</v>
      </c>
      <c r="B61" s="1" t="s">
        <v>131</v>
      </c>
      <c r="C61" s="1" t="s">
        <v>163</v>
      </c>
      <c r="D61" s="23" t="s">
        <v>170</v>
      </c>
      <c r="E61" s="1" t="s">
        <v>156</v>
      </c>
      <c r="F61" s="1" t="s">
        <v>120</v>
      </c>
      <c r="G61" s="21" t="n">
        <f aca="false">K61/3.1416</f>
        <v>2.54647313470843</v>
      </c>
      <c r="H61" s="1" t="n">
        <v>4</v>
      </c>
      <c r="I61" s="1" t="s">
        <v>127</v>
      </c>
      <c r="J61" s="1" t="s">
        <v>130</v>
      </c>
      <c r="K61" s="1" t="n">
        <v>8</v>
      </c>
    </row>
    <row r="62" customFormat="false" ht="14.25" hidden="true" customHeight="false" outlineLevel="0" collapsed="false">
      <c r="A62" s="1" t="n">
        <v>31</v>
      </c>
      <c r="B62" s="1" t="s">
        <v>131</v>
      </c>
      <c r="C62" s="1" t="s">
        <v>163</v>
      </c>
      <c r="D62" s="23" t="s">
        <v>171</v>
      </c>
      <c r="E62" s="1" t="s">
        <v>142</v>
      </c>
      <c r="F62" s="1" t="s">
        <v>138</v>
      </c>
      <c r="G62" s="21" t="n">
        <f aca="false">K62/3.1416</f>
        <v>2.54647313470843</v>
      </c>
      <c r="H62" s="1" t="n">
        <v>3</v>
      </c>
      <c r="I62" s="1" t="s">
        <v>129</v>
      </c>
      <c r="J62" s="1" t="s">
        <v>130</v>
      </c>
      <c r="K62" s="1" t="n">
        <v>8</v>
      </c>
    </row>
    <row r="63" customFormat="false" ht="14.25" hidden="true" customHeight="false" outlineLevel="0" collapsed="false">
      <c r="A63" s="1" t="n">
        <v>31</v>
      </c>
      <c r="B63" s="1" t="s">
        <v>131</v>
      </c>
      <c r="C63" s="1" t="s">
        <v>163</v>
      </c>
      <c r="D63" s="23"/>
      <c r="G63" s="21" t="n">
        <f aca="false">K63/3.1416</f>
        <v>5.09294626941686</v>
      </c>
      <c r="H63" s="1" t="n">
        <v>10</v>
      </c>
      <c r="I63" s="1" t="s">
        <v>129</v>
      </c>
      <c r="J63" s="1" t="s">
        <v>130</v>
      </c>
      <c r="K63" s="1" t="n">
        <v>16</v>
      </c>
    </row>
    <row r="64" customFormat="false" ht="14.25" hidden="true" customHeight="false" outlineLevel="0" collapsed="false">
      <c r="A64" s="1" t="n">
        <v>31</v>
      </c>
      <c r="B64" s="1" t="s">
        <v>131</v>
      </c>
      <c r="C64" s="1" t="s">
        <v>163</v>
      </c>
      <c r="D64" s="23"/>
      <c r="G64" s="21" t="n">
        <f aca="false">K64/3.1416</f>
        <v>2.54647313470843</v>
      </c>
      <c r="H64" s="1" t="n">
        <v>6</v>
      </c>
      <c r="I64" s="1" t="s">
        <v>129</v>
      </c>
      <c r="J64" s="1" t="s">
        <v>130</v>
      </c>
      <c r="K64" s="1" t="n">
        <v>8</v>
      </c>
    </row>
    <row r="65" customFormat="false" ht="14.25" hidden="true" customHeight="false" outlineLevel="0" collapsed="false">
      <c r="A65" s="1" t="n">
        <v>29</v>
      </c>
      <c r="B65" s="1" t="s">
        <v>131</v>
      </c>
      <c r="C65" s="1" t="s">
        <v>172</v>
      </c>
      <c r="D65" s="23" t="s">
        <v>173</v>
      </c>
      <c r="E65" s="1" t="s">
        <v>174</v>
      </c>
      <c r="F65" s="1" t="s">
        <v>138</v>
      </c>
      <c r="G65" s="21" t="n">
        <f aca="false">K65/3.1416</f>
        <v>2.54647313470843</v>
      </c>
      <c r="H65" s="1" t="n">
        <v>3</v>
      </c>
      <c r="I65" s="1" t="s">
        <v>127</v>
      </c>
      <c r="J65" s="1" t="s">
        <v>130</v>
      </c>
      <c r="K65" s="1" t="n">
        <v>8</v>
      </c>
    </row>
    <row r="66" customFormat="false" ht="14.25" hidden="true" customHeight="false" outlineLevel="0" collapsed="false">
      <c r="A66" s="1" t="n">
        <v>1</v>
      </c>
      <c r="B66" s="1" t="s">
        <v>72</v>
      </c>
      <c r="C66" s="1" t="s">
        <v>175</v>
      </c>
      <c r="D66" s="23"/>
      <c r="E66" s="1" t="s">
        <v>174</v>
      </c>
      <c r="F66" s="1" t="s">
        <v>120</v>
      </c>
      <c r="G66" s="21" t="n">
        <f aca="false">ROUND(K66/PI(),0)</f>
        <v>5</v>
      </c>
      <c r="H66" s="1" t="n">
        <v>8</v>
      </c>
      <c r="I66" s="1" t="s">
        <v>127</v>
      </c>
      <c r="J66" s="1" t="s">
        <v>176</v>
      </c>
      <c r="K66" s="1" t="n">
        <v>17</v>
      </c>
    </row>
    <row r="67" customFormat="false" ht="14.25" hidden="true" customHeight="false" outlineLevel="0" collapsed="false">
      <c r="A67" s="1" t="n">
        <v>6</v>
      </c>
      <c r="B67" s="1" t="s">
        <v>92</v>
      </c>
      <c r="C67" s="1" t="s">
        <v>175</v>
      </c>
      <c r="D67" s="23"/>
      <c r="G67" s="21" t="n">
        <f aca="false">ROUND(K67/PI(),0)</f>
        <v>3</v>
      </c>
      <c r="H67" s="1" t="n">
        <v>5</v>
      </c>
      <c r="I67" s="1" t="s">
        <v>127</v>
      </c>
      <c r="J67" s="1" t="s">
        <v>177</v>
      </c>
      <c r="K67" s="1" t="n">
        <v>9</v>
      </c>
    </row>
    <row r="68" customFormat="false" ht="14.25" hidden="true" customHeight="false" outlineLevel="0" collapsed="false">
      <c r="A68" s="1" t="n">
        <v>1</v>
      </c>
      <c r="B68" s="1" t="s">
        <v>72</v>
      </c>
      <c r="C68" s="1" t="s">
        <v>178</v>
      </c>
      <c r="D68" s="23"/>
      <c r="G68" s="21" t="n">
        <f aca="false">ROUND(K68/PI(),0)</f>
        <v>9</v>
      </c>
      <c r="H68" s="1" t="n">
        <v>8</v>
      </c>
      <c r="I68" s="1" t="s">
        <v>127</v>
      </c>
      <c r="J68" s="1" t="s">
        <v>176</v>
      </c>
      <c r="K68" s="1" t="n">
        <v>27</v>
      </c>
    </row>
    <row r="69" customFormat="false" ht="14.25" hidden="true" customHeight="false" outlineLevel="0" collapsed="false">
      <c r="A69" s="1" t="n">
        <v>28</v>
      </c>
      <c r="B69" s="1" t="s">
        <v>82</v>
      </c>
      <c r="C69" s="1" t="s">
        <v>179</v>
      </c>
      <c r="D69" s="23"/>
      <c r="G69" s="21" t="n">
        <f aca="false">K69/3.1416</f>
        <v>20.690094219506</v>
      </c>
      <c r="H69" s="1" t="n">
        <v>25</v>
      </c>
      <c r="I69" s="1" t="s">
        <v>127</v>
      </c>
      <c r="J69" s="1" t="s">
        <v>130</v>
      </c>
      <c r="K69" s="1" t="n">
        <v>65</v>
      </c>
    </row>
    <row r="70" customFormat="false" ht="14.25" hidden="true" customHeight="false" outlineLevel="0" collapsed="false">
      <c r="A70" s="1" t="n">
        <v>1</v>
      </c>
      <c r="B70" s="1" t="s">
        <v>72</v>
      </c>
      <c r="C70" s="1" t="s">
        <v>179</v>
      </c>
      <c r="D70" s="23"/>
      <c r="E70" s="1" t="s">
        <v>174</v>
      </c>
      <c r="F70" s="1" t="s">
        <v>120</v>
      </c>
      <c r="G70" s="21" t="n">
        <f aca="false">ROUND(K70/PI(),0)</f>
        <v>3</v>
      </c>
      <c r="H70" s="1" t="n">
        <v>5</v>
      </c>
      <c r="I70" s="1" t="s">
        <v>127</v>
      </c>
      <c r="J70" s="1" t="s">
        <v>176</v>
      </c>
      <c r="K70" s="1" t="n">
        <v>9</v>
      </c>
    </row>
    <row r="71" customFormat="false" ht="14.25" hidden="true" customHeight="false" outlineLevel="0" collapsed="false">
      <c r="A71" s="1" t="n">
        <v>2</v>
      </c>
      <c r="B71" s="1" t="s">
        <v>72</v>
      </c>
      <c r="C71" s="1" t="s">
        <v>179</v>
      </c>
      <c r="D71" s="23"/>
      <c r="E71" s="1" t="s">
        <v>156</v>
      </c>
      <c r="F71" s="1" t="s">
        <v>120</v>
      </c>
      <c r="G71" s="21" t="n">
        <f aca="false">ROUND(K71/PI(),0)</f>
        <v>3</v>
      </c>
      <c r="H71" s="1" t="n">
        <v>5</v>
      </c>
      <c r="I71" s="1" t="s">
        <v>129</v>
      </c>
      <c r="J71" s="1" t="s">
        <v>162</v>
      </c>
      <c r="K71" s="1" t="n">
        <v>9</v>
      </c>
    </row>
    <row r="72" customFormat="false" ht="14.25" hidden="true" customHeight="false" outlineLevel="0" collapsed="false">
      <c r="A72" s="1" t="n">
        <v>2</v>
      </c>
      <c r="B72" s="1" t="s">
        <v>72</v>
      </c>
      <c r="C72" s="1" t="s">
        <v>179</v>
      </c>
      <c r="D72" s="23"/>
      <c r="G72" s="21" t="n">
        <f aca="false">ROUND(K72/PI(),0)</f>
        <v>3</v>
      </c>
      <c r="H72" s="1" t="n">
        <v>5</v>
      </c>
      <c r="I72" s="1" t="s">
        <v>129</v>
      </c>
      <c r="J72" s="1" t="s">
        <v>162</v>
      </c>
      <c r="K72" s="1" t="n">
        <v>9</v>
      </c>
    </row>
    <row r="73" customFormat="false" ht="14.25" hidden="true" customHeight="false" outlineLevel="0" collapsed="false">
      <c r="A73" s="1" t="n">
        <v>3</v>
      </c>
      <c r="B73" s="1" t="s">
        <v>82</v>
      </c>
      <c r="C73" s="1" t="s">
        <v>179</v>
      </c>
      <c r="D73" s="23"/>
      <c r="G73" s="21" t="n">
        <f aca="false">ROUND(K73/PI(),0)</f>
        <v>12</v>
      </c>
      <c r="H73" s="1" t="n">
        <v>8</v>
      </c>
      <c r="I73" s="1" t="s">
        <v>129</v>
      </c>
      <c r="J73" s="1" t="s">
        <v>162</v>
      </c>
      <c r="K73" s="1" t="n">
        <v>37</v>
      </c>
    </row>
    <row r="74" customFormat="false" ht="14.25" hidden="true" customHeight="false" outlineLevel="0" collapsed="false">
      <c r="A74" s="1" t="n">
        <v>6</v>
      </c>
      <c r="B74" s="1" t="s">
        <v>92</v>
      </c>
      <c r="C74" s="1" t="s">
        <v>179</v>
      </c>
      <c r="D74" s="23"/>
      <c r="E74" s="1" t="s">
        <v>157</v>
      </c>
      <c r="F74" s="1" t="s">
        <v>120</v>
      </c>
      <c r="G74" s="21" t="n">
        <f aca="false">ROUND(K74/PI(),0)</f>
        <v>3</v>
      </c>
      <c r="H74" s="1" t="n">
        <v>7</v>
      </c>
      <c r="I74" s="1" t="s">
        <v>127</v>
      </c>
      <c r="J74" s="1" t="s">
        <v>141</v>
      </c>
      <c r="K74" s="1" t="n">
        <v>10</v>
      </c>
    </row>
    <row r="75" customFormat="false" ht="14.25" hidden="true" customHeight="false" outlineLevel="0" collapsed="false">
      <c r="A75" s="1" t="n">
        <v>6</v>
      </c>
      <c r="B75" s="1" t="s">
        <v>92</v>
      </c>
      <c r="C75" s="1" t="s">
        <v>179</v>
      </c>
      <c r="D75" s="23"/>
      <c r="G75" s="21" t="n">
        <f aca="false">ROUND(K75/PI(),0)</f>
        <v>3</v>
      </c>
      <c r="H75" s="1" t="n">
        <v>4</v>
      </c>
      <c r="I75" s="1" t="s">
        <v>129</v>
      </c>
      <c r="J75" s="1" t="s">
        <v>141</v>
      </c>
      <c r="K75" s="1" t="n">
        <v>10</v>
      </c>
    </row>
    <row r="76" customFormat="false" ht="14.25" hidden="true" customHeight="false" outlineLevel="0" collapsed="false">
      <c r="A76" s="1" t="n">
        <v>8</v>
      </c>
      <c r="B76" s="1" t="s">
        <v>101</v>
      </c>
      <c r="C76" s="1" t="s">
        <v>179</v>
      </c>
      <c r="D76" s="23"/>
      <c r="E76" s="1" t="s">
        <v>142</v>
      </c>
      <c r="F76" s="1" t="s">
        <v>120</v>
      </c>
      <c r="G76" s="21" t="n">
        <f aca="false">ROUND(K76/PI(),0)</f>
        <v>4</v>
      </c>
      <c r="H76" s="1" t="n">
        <v>6</v>
      </c>
      <c r="I76" s="1" t="s">
        <v>129</v>
      </c>
      <c r="J76" s="1" t="s">
        <v>149</v>
      </c>
      <c r="K76" s="1" t="n">
        <v>11</v>
      </c>
    </row>
    <row r="77" customFormat="false" ht="14.25" hidden="true" customHeight="false" outlineLevel="0" collapsed="false">
      <c r="A77" s="1" t="n">
        <v>4</v>
      </c>
      <c r="B77" s="1" t="s">
        <v>82</v>
      </c>
      <c r="C77" s="1" t="s">
        <v>180</v>
      </c>
      <c r="D77" s="23" t="s">
        <v>181</v>
      </c>
      <c r="E77" s="1" t="s">
        <v>182</v>
      </c>
      <c r="F77" s="1" t="s">
        <v>138</v>
      </c>
      <c r="G77" s="21" t="n">
        <f aca="false">ROUND(K77/PI(),0)</f>
        <v>4</v>
      </c>
      <c r="H77" s="1" t="n">
        <v>3</v>
      </c>
      <c r="I77" s="1" t="s">
        <v>129</v>
      </c>
      <c r="J77" s="1" t="s">
        <v>152</v>
      </c>
      <c r="K77" s="1" t="n">
        <v>12</v>
      </c>
    </row>
    <row r="78" customFormat="false" ht="14.25" hidden="true" customHeight="false" outlineLevel="0" collapsed="false">
      <c r="A78" s="1" t="n">
        <v>4</v>
      </c>
      <c r="B78" s="1" t="s">
        <v>82</v>
      </c>
      <c r="C78" s="1" t="s">
        <v>180</v>
      </c>
      <c r="D78" s="23" t="s">
        <v>181</v>
      </c>
      <c r="E78" s="1" t="s">
        <v>182</v>
      </c>
      <c r="F78" s="1" t="s">
        <v>138</v>
      </c>
      <c r="G78" s="21" t="n">
        <f aca="false">ROUND(K78/PI(),0)</f>
        <v>7</v>
      </c>
      <c r="H78" s="1" t="n">
        <v>7</v>
      </c>
      <c r="I78" s="1" t="s">
        <v>127</v>
      </c>
      <c r="J78" s="1" t="s">
        <v>152</v>
      </c>
      <c r="K78" s="1" t="n">
        <v>21</v>
      </c>
    </row>
    <row r="79" customFormat="false" ht="14.25" hidden="true" customHeight="false" outlineLevel="0" collapsed="false">
      <c r="A79" s="1" t="n">
        <v>1</v>
      </c>
      <c r="B79" s="1" t="s">
        <v>82</v>
      </c>
      <c r="C79" s="1" t="s">
        <v>105</v>
      </c>
      <c r="D79" s="23" t="s">
        <v>183</v>
      </c>
      <c r="E79" s="1" t="s">
        <v>157</v>
      </c>
      <c r="F79" s="2" t="s">
        <v>138</v>
      </c>
      <c r="G79" s="21" t="n">
        <f aca="false">K79/3.1416</f>
        <v>16.8703845174433</v>
      </c>
      <c r="H79" s="1" t="n">
        <v>0</v>
      </c>
      <c r="I79" s="2" t="s">
        <v>74</v>
      </c>
      <c r="J79" s="1" t="s">
        <v>184</v>
      </c>
      <c r="K79" s="1" t="n">
        <v>53</v>
      </c>
    </row>
    <row r="80" customFormat="false" ht="14.25" hidden="true" customHeight="false" outlineLevel="0" collapsed="false">
      <c r="A80" s="1" t="n">
        <v>1</v>
      </c>
      <c r="B80" s="1" t="s">
        <v>82</v>
      </c>
      <c r="C80" s="1" t="s">
        <v>105</v>
      </c>
      <c r="D80" s="23" t="s">
        <v>183</v>
      </c>
      <c r="E80" s="1" t="s">
        <v>157</v>
      </c>
      <c r="F80" s="2" t="s">
        <v>138</v>
      </c>
      <c r="G80" s="21" t="n">
        <f aca="false">K80/3.1416</f>
        <v>16.8703845174433</v>
      </c>
      <c r="H80" s="1" t="n">
        <v>0</v>
      </c>
      <c r="I80" s="2" t="s">
        <v>74</v>
      </c>
      <c r="J80" s="1" t="s">
        <v>184</v>
      </c>
      <c r="K80" s="1" t="n">
        <v>53</v>
      </c>
    </row>
    <row r="81" customFormat="false" ht="14.25" hidden="true" customHeight="false" outlineLevel="0" collapsed="false">
      <c r="A81" s="1" t="n">
        <v>1</v>
      </c>
      <c r="B81" s="1" t="s">
        <v>82</v>
      </c>
      <c r="C81" s="1" t="s">
        <v>105</v>
      </c>
      <c r="D81" s="23" t="s">
        <v>183</v>
      </c>
      <c r="E81" s="1" t="s">
        <v>157</v>
      </c>
      <c r="F81" s="2" t="s">
        <v>138</v>
      </c>
      <c r="G81" s="21" t="n">
        <f aca="false">K81/3.1416</f>
        <v>16.8703845174433</v>
      </c>
      <c r="H81" s="1" t="n">
        <v>0</v>
      </c>
      <c r="I81" s="2" t="s">
        <v>74</v>
      </c>
      <c r="J81" s="1" t="s">
        <v>184</v>
      </c>
      <c r="K81" s="1" t="n">
        <v>53</v>
      </c>
    </row>
    <row r="82" customFormat="false" ht="14.25" hidden="true" customHeight="false" outlineLevel="0" collapsed="false">
      <c r="A82" s="1" t="n">
        <v>1</v>
      </c>
      <c r="B82" s="1" t="s">
        <v>82</v>
      </c>
      <c r="C82" s="1" t="s">
        <v>105</v>
      </c>
      <c r="D82" s="23" t="s">
        <v>183</v>
      </c>
      <c r="E82" s="1" t="s">
        <v>157</v>
      </c>
      <c r="F82" s="2" t="s">
        <v>138</v>
      </c>
      <c r="G82" s="21" t="n">
        <f aca="false">K82/3.1416</f>
        <v>16.8703845174433</v>
      </c>
      <c r="H82" s="1" t="n">
        <v>0</v>
      </c>
      <c r="I82" s="2" t="s">
        <v>74</v>
      </c>
      <c r="J82" s="1" t="s">
        <v>184</v>
      </c>
      <c r="K82" s="1" t="n">
        <v>53</v>
      </c>
    </row>
    <row r="83" customFormat="false" ht="14.25" hidden="true" customHeight="false" outlineLevel="0" collapsed="false">
      <c r="A83" s="1" t="n">
        <v>1</v>
      </c>
      <c r="B83" s="1" t="s">
        <v>72</v>
      </c>
      <c r="C83" s="1" t="s">
        <v>105</v>
      </c>
      <c r="D83" s="23" t="s">
        <v>185</v>
      </c>
      <c r="E83" s="1" t="s">
        <v>186</v>
      </c>
      <c r="F83" s="1" t="s">
        <v>187</v>
      </c>
      <c r="G83" s="21" t="n">
        <f aca="false">ROUND(K83/PI(),0)</f>
        <v>13</v>
      </c>
      <c r="H83" s="1" t="n">
        <v>10</v>
      </c>
      <c r="I83" s="1" t="s">
        <v>127</v>
      </c>
      <c r="J83" s="1" t="s">
        <v>188</v>
      </c>
      <c r="K83" s="1" t="n">
        <v>40</v>
      </c>
    </row>
    <row r="84" customFormat="false" ht="14.25" hidden="true" customHeight="false" outlineLevel="0" collapsed="false">
      <c r="A84" s="1" t="n">
        <v>1</v>
      </c>
      <c r="B84" s="1" t="s">
        <v>72</v>
      </c>
      <c r="C84" s="1" t="s">
        <v>105</v>
      </c>
      <c r="D84" s="23" t="s">
        <v>185</v>
      </c>
      <c r="E84" s="1" t="s">
        <v>186</v>
      </c>
      <c r="F84" s="1" t="s">
        <v>187</v>
      </c>
      <c r="G84" s="21" t="n">
        <f aca="false">ROUND(K84/PI(),0)</f>
        <v>7</v>
      </c>
      <c r="H84" s="1" t="n">
        <v>8</v>
      </c>
      <c r="I84" s="1" t="s">
        <v>129</v>
      </c>
      <c r="J84" s="1" t="s">
        <v>188</v>
      </c>
      <c r="K84" s="1" t="n">
        <v>21</v>
      </c>
    </row>
    <row r="85" customFormat="false" ht="14.25" hidden="true" customHeight="false" outlineLevel="0" collapsed="false">
      <c r="A85" s="1" t="n">
        <v>1</v>
      </c>
      <c r="B85" s="1" t="s">
        <v>72</v>
      </c>
      <c r="C85" s="1" t="s">
        <v>105</v>
      </c>
      <c r="D85" s="23" t="s">
        <v>185</v>
      </c>
      <c r="E85" s="1" t="s">
        <v>186</v>
      </c>
      <c r="F85" s="1" t="s">
        <v>187</v>
      </c>
      <c r="G85" s="21" t="n">
        <f aca="false">ROUND(K85/PI(),0)</f>
        <v>11</v>
      </c>
      <c r="H85" s="1" t="n">
        <v>12</v>
      </c>
      <c r="I85" s="1" t="s">
        <v>129</v>
      </c>
      <c r="J85" s="1" t="s">
        <v>158</v>
      </c>
      <c r="K85" s="1" t="n">
        <v>35</v>
      </c>
    </row>
    <row r="86" customFormat="false" ht="14.25" hidden="true" customHeight="false" outlineLevel="0" collapsed="false">
      <c r="A86" s="1" t="n">
        <v>2</v>
      </c>
      <c r="B86" s="1" t="s">
        <v>72</v>
      </c>
      <c r="C86" s="1" t="s">
        <v>105</v>
      </c>
      <c r="D86" s="23" t="s">
        <v>185</v>
      </c>
      <c r="E86" s="1" t="s">
        <v>186</v>
      </c>
      <c r="F86" s="1" t="s">
        <v>187</v>
      </c>
      <c r="G86" s="21" t="n">
        <f aca="false">ROUND(K86/PI(),0)</f>
        <v>4</v>
      </c>
      <c r="H86" s="1" t="n">
        <v>6</v>
      </c>
      <c r="I86" s="1" t="s">
        <v>129</v>
      </c>
      <c r="J86" s="1" t="s">
        <v>158</v>
      </c>
      <c r="K86" s="1" t="n">
        <v>11</v>
      </c>
    </row>
    <row r="87" customFormat="false" ht="14.25" hidden="true" customHeight="false" outlineLevel="0" collapsed="false">
      <c r="A87" s="1" t="n">
        <v>2</v>
      </c>
      <c r="B87" s="1" t="s">
        <v>72</v>
      </c>
      <c r="C87" s="1" t="s">
        <v>105</v>
      </c>
      <c r="D87" s="23" t="s">
        <v>185</v>
      </c>
      <c r="E87" s="1" t="s">
        <v>186</v>
      </c>
      <c r="F87" s="1" t="s">
        <v>187</v>
      </c>
      <c r="G87" s="21" t="n">
        <f aca="false">ROUND(K87/PI(),0)</f>
        <v>4</v>
      </c>
      <c r="H87" s="1" t="n">
        <v>5</v>
      </c>
      <c r="I87" s="1" t="s">
        <v>129</v>
      </c>
      <c r="J87" s="1" t="s">
        <v>158</v>
      </c>
      <c r="K87" s="1" t="n">
        <v>11</v>
      </c>
    </row>
    <row r="88" customFormat="false" ht="14.25" hidden="true" customHeight="false" outlineLevel="0" collapsed="false">
      <c r="A88" s="1" t="n">
        <v>2</v>
      </c>
      <c r="B88" s="1" t="s">
        <v>72</v>
      </c>
      <c r="C88" s="1" t="s">
        <v>105</v>
      </c>
      <c r="D88" s="23" t="s">
        <v>185</v>
      </c>
      <c r="E88" s="1" t="s">
        <v>186</v>
      </c>
      <c r="F88" s="1" t="s">
        <v>187</v>
      </c>
      <c r="G88" s="21" t="n">
        <f aca="false">ROUND(K88/PI(),0)</f>
        <v>7</v>
      </c>
      <c r="H88" s="1" t="n">
        <v>8</v>
      </c>
      <c r="I88" s="1" t="s">
        <v>129</v>
      </c>
      <c r="J88" s="1" t="s">
        <v>158</v>
      </c>
      <c r="K88" s="1" t="n">
        <v>22</v>
      </c>
    </row>
    <row r="89" customFormat="false" ht="14.25" hidden="true" customHeight="false" outlineLevel="0" collapsed="false">
      <c r="A89" s="1" t="n">
        <v>3</v>
      </c>
      <c r="B89" s="1" t="s">
        <v>82</v>
      </c>
      <c r="C89" s="1" t="s">
        <v>105</v>
      </c>
      <c r="D89" s="23" t="s">
        <v>185</v>
      </c>
      <c r="E89" s="1" t="s">
        <v>186</v>
      </c>
      <c r="F89" s="1" t="s">
        <v>187</v>
      </c>
      <c r="G89" s="21" t="n">
        <f aca="false">ROUND(K89/PI(),0)</f>
        <v>40</v>
      </c>
      <c r="H89" s="1" t="n">
        <v>17</v>
      </c>
      <c r="I89" s="1" t="s">
        <v>129</v>
      </c>
      <c r="J89" s="1" t="s">
        <v>162</v>
      </c>
      <c r="K89" s="1" t="n">
        <v>125</v>
      </c>
    </row>
    <row r="90" customFormat="false" ht="14.25" hidden="true" customHeight="false" outlineLevel="0" collapsed="false">
      <c r="A90" s="1" t="n">
        <v>3</v>
      </c>
      <c r="B90" s="1" t="s">
        <v>82</v>
      </c>
      <c r="C90" s="1" t="s">
        <v>105</v>
      </c>
      <c r="D90" s="23" t="s">
        <v>185</v>
      </c>
      <c r="E90" s="1" t="s">
        <v>186</v>
      </c>
      <c r="F90" s="1" t="s">
        <v>187</v>
      </c>
      <c r="G90" s="21" t="n">
        <f aca="false">ROUND(K90/PI(),0)</f>
        <v>9</v>
      </c>
      <c r="H90" s="1" t="n">
        <v>10</v>
      </c>
      <c r="I90" s="1" t="s">
        <v>129</v>
      </c>
      <c r="J90" s="1" t="s">
        <v>162</v>
      </c>
      <c r="K90" s="1" t="n">
        <v>27</v>
      </c>
    </row>
    <row r="91" customFormat="false" ht="14.25" hidden="true" customHeight="false" outlineLevel="0" collapsed="false">
      <c r="A91" s="1" t="n">
        <v>5</v>
      </c>
      <c r="B91" s="1" t="s">
        <v>92</v>
      </c>
      <c r="C91" s="1" t="s">
        <v>105</v>
      </c>
      <c r="D91" s="23" t="s">
        <v>185</v>
      </c>
      <c r="E91" s="1" t="s">
        <v>186</v>
      </c>
      <c r="F91" s="1" t="s">
        <v>187</v>
      </c>
      <c r="G91" s="21" t="n">
        <f aca="false">ROUND(K91/PI(),0)</f>
        <v>32</v>
      </c>
      <c r="H91" s="1" t="n">
        <v>15</v>
      </c>
      <c r="I91" s="1" t="s">
        <v>129</v>
      </c>
      <c r="J91" s="1" t="s">
        <v>141</v>
      </c>
      <c r="K91" s="1" t="n">
        <v>99</v>
      </c>
    </row>
    <row r="92" customFormat="false" ht="14.25" hidden="true" customHeight="false" outlineLevel="0" collapsed="false">
      <c r="A92" s="1" t="n">
        <v>5</v>
      </c>
      <c r="B92" s="1" t="s">
        <v>92</v>
      </c>
      <c r="C92" s="1" t="s">
        <v>105</v>
      </c>
      <c r="D92" s="23" t="s">
        <v>185</v>
      </c>
      <c r="E92" s="1" t="s">
        <v>186</v>
      </c>
      <c r="F92" s="1" t="s">
        <v>187</v>
      </c>
      <c r="G92" s="21" t="n">
        <f aca="false">ROUND(K92/PI(),0)</f>
        <v>26</v>
      </c>
      <c r="H92" s="1" t="n">
        <v>12</v>
      </c>
      <c r="I92" s="1" t="s">
        <v>129</v>
      </c>
      <c r="J92" s="1" t="s">
        <v>141</v>
      </c>
      <c r="K92" s="1" t="n">
        <v>81</v>
      </c>
    </row>
    <row r="93" customFormat="false" ht="14.25" hidden="true" customHeight="false" outlineLevel="0" collapsed="false">
      <c r="A93" s="1" t="n">
        <v>5</v>
      </c>
      <c r="B93" s="1" t="s">
        <v>92</v>
      </c>
      <c r="C93" s="1" t="s">
        <v>105</v>
      </c>
      <c r="D93" s="23"/>
      <c r="G93" s="21" t="n">
        <f aca="false">ROUND(K93/PI(),0)</f>
        <v>8</v>
      </c>
      <c r="H93" s="1" t="n">
        <v>10</v>
      </c>
      <c r="I93" s="1" t="s">
        <v>129</v>
      </c>
      <c r="J93" s="1" t="s">
        <v>141</v>
      </c>
      <c r="K93" s="1" t="n">
        <v>25</v>
      </c>
    </row>
    <row r="94" customFormat="false" ht="14.25" hidden="true" customHeight="false" outlineLevel="0" collapsed="false">
      <c r="A94" s="1" t="n">
        <v>5</v>
      </c>
      <c r="B94" s="1" t="s">
        <v>92</v>
      </c>
      <c r="C94" s="1" t="s">
        <v>105</v>
      </c>
      <c r="D94" s="23"/>
      <c r="G94" s="21" t="n">
        <f aca="false">ROUND(K94/PI(),0)</f>
        <v>5</v>
      </c>
      <c r="H94" s="1" t="n">
        <v>7</v>
      </c>
      <c r="I94" s="1" t="s">
        <v>129</v>
      </c>
      <c r="J94" s="1" t="s">
        <v>141</v>
      </c>
      <c r="K94" s="1" t="n">
        <v>15</v>
      </c>
    </row>
    <row r="95" customFormat="false" ht="14.25" hidden="true" customHeight="false" outlineLevel="0" collapsed="false">
      <c r="A95" s="1" t="n">
        <v>5</v>
      </c>
      <c r="B95" s="1" t="s">
        <v>92</v>
      </c>
      <c r="C95" s="1" t="s">
        <v>105</v>
      </c>
      <c r="D95" s="23" t="s">
        <v>185</v>
      </c>
      <c r="E95" s="1" t="s">
        <v>186</v>
      </c>
      <c r="F95" s="1" t="s">
        <v>187</v>
      </c>
      <c r="G95" s="21" t="n">
        <f aca="false">ROUND(K95/PI(),0)</f>
        <v>12</v>
      </c>
      <c r="H95" s="1" t="n">
        <v>12</v>
      </c>
      <c r="I95" s="1" t="s">
        <v>129</v>
      </c>
      <c r="J95" s="1" t="s">
        <v>141</v>
      </c>
      <c r="K95" s="1" t="n">
        <v>38</v>
      </c>
    </row>
    <row r="96" customFormat="false" ht="14.25" hidden="true" customHeight="false" outlineLevel="0" collapsed="false">
      <c r="A96" s="1" t="n">
        <v>5</v>
      </c>
      <c r="B96" s="1" t="s">
        <v>92</v>
      </c>
      <c r="C96" s="1" t="s">
        <v>105</v>
      </c>
      <c r="D96" s="23" t="s">
        <v>185</v>
      </c>
      <c r="E96" s="1" t="s">
        <v>186</v>
      </c>
      <c r="F96" s="1" t="s">
        <v>187</v>
      </c>
      <c r="G96" s="21" t="n">
        <f aca="false">ROUND(K96/PI(),0)</f>
        <v>8</v>
      </c>
      <c r="H96" s="1" t="n">
        <v>7</v>
      </c>
      <c r="I96" s="1" t="s">
        <v>129</v>
      </c>
      <c r="J96" s="1" t="s">
        <v>141</v>
      </c>
      <c r="K96" s="1" t="n">
        <v>24</v>
      </c>
    </row>
    <row r="97" customFormat="false" ht="14.25" hidden="true" customHeight="false" outlineLevel="0" collapsed="false">
      <c r="A97" s="1" t="n">
        <v>6</v>
      </c>
      <c r="B97" s="1" t="s">
        <v>92</v>
      </c>
      <c r="C97" s="1" t="s">
        <v>105</v>
      </c>
      <c r="D97" s="23" t="s">
        <v>185</v>
      </c>
      <c r="E97" s="1" t="s">
        <v>186</v>
      </c>
      <c r="F97" s="1" t="s">
        <v>187</v>
      </c>
      <c r="G97" s="21" t="n">
        <f aca="false">ROUND(K97/PI(),0)</f>
        <v>10</v>
      </c>
      <c r="H97" s="1" t="n">
        <v>9</v>
      </c>
      <c r="I97" s="1" t="s">
        <v>129</v>
      </c>
      <c r="J97" s="1" t="s">
        <v>141</v>
      </c>
      <c r="K97" s="1" t="n">
        <v>32</v>
      </c>
    </row>
    <row r="98" customFormat="false" ht="14.25" hidden="true" customHeight="false" outlineLevel="0" collapsed="false">
      <c r="A98" s="1" t="n">
        <v>6</v>
      </c>
      <c r="B98" s="1" t="s">
        <v>92</v>
      </c>
      <c r="C98" s="1" t="s">
        <v>105</v>
      </c>
      <c r="D98" s="23" t="s">
        <v>185</v>
      </c>
      <c r="E98" s="1" t="s">
        <v>186</v>
      </c>
      <c r="F98" s="1" t="s">
        <v>187</v>
      </c>
      <c r="G98" s="21" t="n">
        <f aca="false">ROUND(K98/PI(),0)</f>
        <v>4</v>
      </c>
      <c r="H98" s="1" t="n">
        <v>7</v>
      </c>
      <c r="I98" s="1" t="s">
        <v>129</v>
      </c>
      <c r="J98" s="1" t="s">
        <v>141</v>
      </c>
      <c r="K98" s="1" t="n">
        <v>14</v>
      </c>
    </row>
    <row r="99" customFormat="false" ht="14.25" hidden="true" customHeight="false" outlineLevel="0" collapsed="false">
      <c r="A99" s="1" t="n">
        <v>6</v>
      </c>
      <c r="B99" s="1" t="s">
        <v>92</v>
      </c>
      <c r="C99" s="1" t="s">
        <v>105</v>
      </c>
      <c r="D99" s="23" t="s">
        <v>185</v>
      </c>
      <c r="E99" s="1" t="s">
        <v>186</v>
      </c>
      <c r="F99" s="1" t="s">
        <v>187</v>
      </c>
      <c r="G99" s="21" t="n">
        <f aca="false">ROUND(K99/PI(),0)</f>
        <v>7</v>
      </c>
      <c r="H99" s="1" t="n">
        <v>4</v>
      </c>
      <c r="I99" s="1" t="s">
        <v>134</v>
      </c>
      <c r="J99" s="1" t="s">
        <v>141</v>
      </c>
      <c r="K99" s="1" t="n">
        <v>21</v>
      </c>
    </row>
    <row r="100" customFormat="false" ht="14.25" hidden="true" customHeight="false" outlineLevel="0" collapsed="false">
      <c r="A100" s="1" t="n">
        <v>6</v>
      </c>
      <c r="B100" s="1" t="s">
        <v>92</v>
      </c>
      <c r="C100" s="1" t="s">
        <v>105</v>
      </c>
      <c r="D100" s="23"/>
      <c r="G100" s="21" t="n">
        <f aca="false">ROUND(K100/PI(),0)</f>
        <v>7</v>
      </c>
      <c r="H100" s="1" t="n">
        <v>7</v>
      </c>
      <c r="I100" s="1" t="s">
        <v>129</v>
      </c>
      <c r="J100" s="1" t="s">
        <v>141</v>
      </c>
      <c r="K100" s="1" t="n">
        <v>22</v>
      </c>
    </row>
    <row r="101" customFormat="false" ht="14.25" hidden="true" customHeight="false" outlineLevel="0" collapsed="false">
      <c r="A101" s="1" t="n">
        <v>6</v>
      </c>
      <c r="B101" s="1" t="s">
        <v>92</v>
      </c>
      <c r="C101" s="1" t="s">
        <v>105</v>
      </c>
      <c r="D101" s="23"/>
      <c r="G101" s="21" t="n">
        <f aca="false">ROUND(K101/PI(),0)</f>
        <v>7</v>
      </c>
      <c r="H101" s="1" t="n">
        <v>7</v>
      </c>
      <c r="I101" s="1" t="s">
        <v>129</v>
      </c>
      <c r="J101" s="1" t="s">
        <v>141</v>
      </c>
      <c r="K101" s="1" t="n">
        <v>23</v>
      </c>
    </row>
    <row r="102" customFormat="false" ht="14.25" hidden="true" customHeight="false" outlineLevel="0" collapsed="false">
      <c r="A102" s="1" t="n">
        <v>8</v>
      </c>
      <c r="B102" s="1" t="s">
        <v>101</v>
      </c>
      <c r="C102" s="1" t="s">
        <v>105</v>
      </c>
      <c r="D102" s="23" t="s">
        <v>189</v>
      </c>
      <c r="E102" s="1" t="s">
        <v>145</v>
      </c>
      <c r="F102" s="1" t="s">
        <v>120</v>
      </c>
      <c r="G102" s="21" t="n">
        <f aca="false">ROUND(K102/PI(),0)</f>
        <v>4</v>
      </c>
      <c r="H102" s="1" t="n">
        <v>5</v>
      </c>
      <c r="I102" s="1" t="s">
        <v>129</v>
      </c>
      <c r="J102" s="1" t="s">
        <v>141</v>
      </c>
      <c r="K102" s="1" t="n">
        <v>11</v>
      </c>
    </row>
    <row r="103" customFormat="false" ht="14.25" hidden="true" customHeight="false" outlineLevel="0" collapsed="false">
      <c r="A103" s="1" t="n">
        <v>8</v>
      </c>
      <c r="B103" s="1" t="s">
        <v>101</v>
      </c>
      <c r="C103" s="1" t="s">
        <v>105</v>
      </c>
      <c r="D103" s="23" t="s">
        <v>189</v>
      </c>
      <c r="E103" s="1" t="s">
        <v>145</v>
      </c>
      <c r="F103" s="1" t="s">
        <v>120</v>
      </c>
      <c r="G103" s="21" t="n">
        <f aca="false">ROUND(K103/PI(),0)</f>
        <v>3</v>
      </c>
      <c r="H103" s="1" t="n">
        <v>5</v>
      </c>
      <c r="I103" s="1" t="s">
        <v>134</v>
      </c>
      <c r="J103" s="1" t="s">
        <v>141</v>
      </c>
      <c r="K103" s="1" t="n">
        <v>10</v>
      </c>
    </row>
    <row r="104" customFormat="false" ht="14.25" hidden="true" customHeight="false" outlineLevel="0" collapsed="false">
      <c r="A104" s="1" t="n">
        <v>8</v>
      </c>
      <c r="B104" s="1" t="s">
        <v>101</v>
      </c>
      <c r="C104" s="1" t="s">
        <v>105</v>
      </c>
      <c r="D104" s="23" t="s">
        <v>185</v>
      </c>
      <c r="E104" s="1" t="s">
        <v>186</v>
      </c>
      <c r="F104" s="1" t="s">
        <v>187</v>
      </c>
      <c r="G104" s="21" t="n">
        <f aca="false">ROUND(K104/PI(),0)</f>
        <v>25</v>
      </c>
      <c r="H104" s="1" t="n">
        <v>13</v>
      </c>
      <c r="I104" s="1" t="s">
        <v>129</v>
      </c>
      <c r="J104" s="1" t="s">
        <v>141</v>
      </c>
      <c r="K104" s="1" t="n">
        <v>80</v>
      </c>
    </row>
    <row r="105" customFormat="false" ht="14.25" hidden="true" customHeight="false" outlineLevel="0" collapsed="false">
      <c r="A105" s="1" t="n">
        <v>8</v>
      </c>
      <c r="B105" s="1" t="s">
        <v>101</v>
      </c>
      <c r="C105" s="1" t="s">
        <v>105</v>
      </c>
      <c r="D105" s="23" t="s">
        <v>185</v>
      </c>
      <c r="E105" s="1" t="s">
        <v>186</v>
      </c>
      <c r="F105" s="1" t="s">
        <v>187</v>
      </c>
      <c r="G105" s="21" t="n">
        <f aca="false">ROUND(K105/PI(),0)</f>
        <v>17</v>
      </c>
      <c r="H105" s="1" t="n">
        <v>13</v>
      </c>
      <c r="I105" s="1" t="s">
        <v>129</v>
      </c>
      <c r="J105" s="1" t="s">
        <v>141</v>
      </c>
      <c r="K105" s="1" t="n">
        <v>54</v>
      </c>
    </row>
    <row r="106" customFormat="false" ht="14.25" hidden="true" customHeight="false" outlineLevel="0" collapsed="false">
      <c r="A106" s="1" t="n">
        <v>8</v>
      </c>
      <c r="B106" s="1" t="s">
        <v>101</v>
      </c>
      <c r="C106" s="1" t="s">
        <v>190</v>
      </c>
      <c r="D106" s="23"/>
      <c r="G106" s="21" t="n">
        <f aca="false">ROUND(K106/PI(),0)</f>
        <v>4</v>
      </c>
      <c r="H106" s="1" t="n">
        <v>5</v>
      </c>
      <c r="I106" s="1" t="s">
        <v>129</v>
      </c>
      <c r="J106" s="1" t="s">
        <v>141</v>
      </c>
      <c r="K106" s="1" t="n">
        <v>12</v>
      </c>
    </row>
    <row r="107" customFormat="false" ht="14.25" hidden="true" customHeight="false" outlineLevel="0" collapsed="false">
      <c r="A107" s="1" t="n">
        <v>8</v>
      </c>
      <c r="B107" s="1" t="s">
        <v>101</v>
      </c>
      <c r="C107" s="1" t="s">
        <v>190</v>
      </c>
      <c r="D107" s="23"/>
      <c r="G107" s="21" t="n">
        <f aca="false">ROUND(K107/PI(),0)</f>
        <v>4</v>
      </c>
      <c r="H107" s="1" t="n">
        <v>7</v>
      </c>
      <c r="I107" s="1" t="s">
        <v>129</v>
      </c>
      <c r="J107" s="1" t="s">
        <v>141</v>
      </c>
      <c r="K107" s="1" t="n">
        <v>14</v>
      </c>
    </row>
    <row r="108" customFormat="false" ht="14.25" hidden="true" customHeight="false" outlineLevel="0" collapsed="false">
      <c r="A108" s="1" t="n">
        <v>2</v>
      </c>
      <c r="B108" s="1" t="s">
        <v>82</v>
      </c>
      <c r="C108" s="1" t="s">
        <v>191</v>
      </c>
      <c r="D108" s="23"/>
      <c r="E108" s="1" t="s">
        <v>156</v>
      </c>
      <c r="F108" s="2" t="s">
        <v>120</v>
      </c>
      <c r="G108" s="21" t="n">
        <f aca="false">K108/3.1416</f>
        <v>8.9126559714795</v>
      </c>
      <c r="H108" s="1" t="n">
        <v>0</v>
      </c>
      <c r="I108" s="2" t="s">
        <v>74</v>
      </c>
      <c r="J108" s="1" t="s">
        <v>130</v>
      </c>
      <c r="K108" s="1" t="n">
        <v>28</v>
      </c>
    </row>
    <row r="109" customFormat="false" ht="14.25" hidden="true" customHeight="false" outlineLevel="0" collapsed="false">
      <c r="A109" s="1" t="n">
        <v>5</v>
      </c>
      <c r="B109" s="1" t="s">
        <v>122</v>
      </c>
      <c r="C109" s="1" t="s">
        <v>191</v>
      </c>
      <c r="D109" s="23"/>
      <c r="G109" s="21" t="n">
        <f aca="false">K109/3.1416</f>
        <v>4.1380188439012</v>
      </c>
      <c r="H109" s="1" t="n">
        <v>0</v>
      </c>
      <c r="I109" s="2" t="s">
        <v>74</v>
      </c>
      <c r="J109" s="1" t="s">
        <v>130</v>
      </c>
      <c r="K109" s="1" t="n">
        <v>13</v>
      </c>
    </row>
    <row r="110" customFormat="false" ht="14.25" hidden="true" customHeight="false" outlineLevel="0" collapsed="false">
      <c r="A110" s="1" t="n">
        <v>8</v>
      </c>
      <c r="B110" s="1" t="s">
        <v>122</v>
      </c>
      <c r="C110" s="1" t="s">
        <v>191</v>
      </c>
      <c r="D110" s="23"/>
      <c r="E110" s="1" t="s">
        <v>156</v>
      </c>
      <c r="F110" s="2" t="s">
        <v>120</v>
      </c>
      <c r="G110" s="21" t="n">
        <f aca="false">K110/3.1416</f>
        <v>2.54647313470843</v>
      </c>
      <c r="H110" s="1" t="n">
        <v>2.5</v>
      </c>
      <c r="I110" s="2" t="s">
        <v>129</v>
      </c>
      <c r="J110" s="1" t="s">
        <v>130</v>
      </c>
      <c r="K110" s="1" t="n">
        <v>8</v>
      </c>
    </row>
    <row r="111" customFormat="false" ht="14.25" hidden="true" customHeight="false" outlineLevel="0" collapsed="false">
      <c r="A111" s="1" t="n">
        <v>12</v>
      </c>
      <c r="B111" s="1" t="s">
        <v>128</v>
      </c>
      <c r="C111" s="1" t="s">
        <v>191</v>
      </c>
      <c r="D111" s="23"/>
      <c r="G111" s="21" t="n">
        <f aca="false">K111/3.1416</f>
        <v>2.54647313470843</v>
      </c>
      <c r="H111" s="1" t="n">
        <v>2</v>
      </c>
      <c r="I111" s="1" t="s">
        <v>127</v>
      </c>
      <c r="J111" s="1" t="s">
        <v>130</v>
      </c>
      <c r="K111" s="1" t="n">
        <v>8</v>
      </c>
    </row>
    <row r="112" customFormat="false" ht="14.25" hidden="true" customHeight="false" outlineLevel="0" collapsed="false">
      <c r="A112" s="1" t="n">
        <v>12</v>
      </c>
      <c r="B112" s="1" t="s">
        <v>128</v>
      </c>
      <c r="C112" s="1" t="s">
        <v>191</v>
      </c>
      <c r="D112" s="23"/>
      <c r="G112" s="21" t="n">
        <f aca="false">K112/3.1416</f>
        <v>5.41125541125541</v>
      </c>
      <c r="H112" s="1" t="n">
        <v>7</v>
      </c>
      <c r="I112" s="1" t="s">
        <v>129</v>
      </c>
      <c r="J112" s="1" t="s">
        <v>130</v>
      </c>
      <c r="K112" s="1" t="n">
        <v>17</v>
      </c>
    </row>
    <row r="113" customFormat="false" ht="14.25" hidden="true" customHeight="false" outlineLevel="0" collapsed="false">
      <c r="A113" s="1" t="n">
        <v>12</v>
      </c>
      <c r="B113" s="1" t="s">
        <v>128</v>
      </c>
      <c r="C113" s="1" t="s">
        <v>191</v>
      </c>
      <c r="D113" s="23"/>
      <c r="G113" s="21" t="n">
        <f aca="false">K113/3.1416</f>
        <v>4.1380188439012</v>
      </c>
      <c r="H113" s="1" t="n">
        <v>7</v>
      </c>
      <c r="I113" s="1" t="s">
        <v>127</v>
      </c>
      <c r="J113" s="1" t="s">
        <v>130</v>
      </c>
      <c r="K113" s="1" t="n">
        <v>13</v>
      </c>
    </row>
    <row r="114" customFormat="false" ht="14.25" hidden="true" customHeight="false" outlineLevel="0" collapsed="false">
      <c r="A114" s="1" t="n">
        <v>12</v>
      </c>
      <c r="B114" s="1" t="s">
        <v>128</v>
      </c>
      <c r="C114" s="1" t="s">
        <v>191</v>
      </c>
      <c r="D114" s="23" t="s">
        <v>192</v>
      </c>
      <c r="E114" s="1" t="s">
        <v>193</v>
      </c>
      <c r="F114" s="2" t="s">
        <v>120</v>
      </c>
      <c r="G114" s="21" t="n">
        <f aca="false">K114/3.1416</f>
        <v>3.18309141838554</v>
      </c>
      <c r="H114" s="1" t="n">
        <v>7</v>
      </c>
      <c r="I114" s="1" t="s">
        <v>129</v>
      </c>
      <c r="J114" s="1" t="s">
        <v>130</v>
      </c>
      <c r="K114" s="1" t="n">
        <v>10</v>
      </c>
    </row>
    <row r="115" customFormat="false" ht="14.25" hidden="true" customHeight="false" outlineLevel="0" collapsed="false">
      <c r="A115" s="1" t="n">
        <v>12</v>
      </c>
      <c r="B115" s="1" t="s">
        <v>128</v>
      </c>
      <c r="C115" s="1" t="s">
        <v>191</v>
      </c>
      <c r="D115" s="23" t="s">
        <v>192</v>
      </c>
      <c r="E115" s="1" t="s">
        <v>193</v>
      </c>
      <c r="F115" s="2" t="s">
        <v>120</v>
      </c>
      <c r="G115" s="21" t="n">
        <f aca="false">K115/3.1416</f>
        <v>4.1380188439012</v>
      </c>
      <c r="H115" s="1" t="n">
        <v>6</v>
      </c>
      <c r="I115" s="1" t="s">
        <v>129</v>
      </c>
      <c r="J115" s="1" t="s">
        <v>130</v>
      </c>
      <c r="K115" s="1" t="n">
        <v>13</v>
      </c>
    </row>
    <row r="116" customFormat="false" ht="14.25" hidden="true" customHeight="false" outlineLevel="0" collapsed="false">
      <c r="A116" s="1" t="n">
        <v>14</v>
      </c>
      <c r="B116" s="1" t="s">
        <v>131</v>
      </c>
      <c r="C116" s="1" t="s">
        <v>191</v>
      </c>
      <c r="D116" s="23" t="s">
        <v>194</v>
      </c>
      <c r="E116" s="1" t="s">
        <v>156</v>
      </c>
      <c r="F116" s="1" t="s">
        <v>120</v>
      </c>
      <c r="G116" s="21" t="n">
        <f aca="false">K116/3.1416</f>
        <v>3.50140056022409</v>
      </c>
      <c r="H116" s="1" t="n">
        <v>4</v>
      </c>
      <c r="I116" s="1" t="s">
        <v>127</v>
      </c>
      <c r="J116" s="1" t="s">
        <v>130</v>
      </c>
      <c r="K116" s="1" t="n">
        <v>11</v>
      </c>
    </row>
    <row r="117" customFormat="false" ht="14.25" hidden="true" customHeight="false" outlineLevel="0" collapsed="false">
      <c r="A117" s="1" t="n">
        <v>14</v>
      </c>
      <c r="B117" s="1" t="s">
        <v>131</v>
      </c>
      <c r="C117" s="1" t="s">
        <v>191</v>
      </c>
      <c r="D117" s="23" t="s">
        <v>194</v>
      </c>
      <c r="E117" s="1" t="s">
        <v>156</v>
      </c>
      <c r="F117" s="1" t="s">
        <v>120</v>
      </c>
      <c r="G117" s="21" t="n">
        <f aca="false">K117/3.1416</f>
        <v>5.41125541125541</v>
      </c>
      <c r="H117" s="1" t="n">
        <v>8</v>
      </c>
      <c r="I117" s="1" t="s">
        <v>129</v>
      </c>
      <c r="J117" s="1" t="s">
        <v>130</v>
      </c>
      <c r="K117" s="1" t="n">
        <v>17</v>
      </c>
    </row>
    <row r="118" customFormat="false" ht="14.25" hidden="true" customHeight="false" outlineLevel="0" collapsed="false">
      <c r="A118" s="1" t="n">
        <v>14</v>
      </c>
      <c r="B118" s="1" t="s">
        <v>131</v>
      </c>
      <c r="C118" s="1" t="s">
        <v>191</v>
      </c>
      <c r="D118" s="23" t="s">
        <v>194</v>
      </c>
      <c r="E118" s="1" t="s">
        <v>156</v>
      </c>
      <c r="F118" s="1" t="s">
        <v>120</v>
      </c>
      <c r="G118" s="21" t="n">
        <f aca="false">K118/3.1416</f>
        <v>5.41125541125541</v>
      </c>
      <c r="H118" s="1" t="n">
        <v>8</v>
      </c>
      <c r="I118" s="1" t="s">
        <v>129</v>
      </c>
      <c r="J118" s="1" t="s">
        <v>130</v>
      </c>
      <c r="K118" s="1" t="n">
        <v>17</v>
      </c>
    </row>
    <row r="119" customFormat="false" ht="14.25" hidden="true" customHeight="false" outlineLevel="0" collapsed="false">
      <c r="A119" s="1" t="n">
        <v>14</v>
      </c>
      <c r="B119" s="1" t="s">
        <v>131</v>
      </c>
      <c r="C119" s="1" t="s">
        <v>191</v>
      </c>
      <c r="D119" s="23" t="s">
        <v>194</v>
      </c>
      <c r="E119" s="1" t="s">
        <v>156</v>
      </c>
      <c r="F119" s="1" t="s">
        <v>120</v>
      </c>
      <c r="G119" s="21" t="n">
        <f aca="false">K119/3.1416</f>
        <v>2.54647313470843</v>
      </c>
      <c r="H119" s="1" t="n">
        <v>4</v>
      </c>
      <c r="I119" s="1" t="s">
        <v>129</v>
      </c>
      <c r="J119" s="1" t="s">
        <v>130</v>
      </c>
      <c r="K119" s="1" t="n">
        <v>8</v>
      </c>
    </row>
    <row r="120" customFormat="false" ht="14.25" hidden="true" customHeight="false" outlineLevel="0" collapsed="false">
      <c r="A120" s="1" t="n">
        <v>14</v>
      </c>
      <c r="B120" s="1" t="s">
        <v>131</v>
      </c>
      <c r="C120" s="1" t="s">
        <v>191</v>
      </c>
      <c r="D120" s="23" t="s">
        <v>194</v>
      </c>
      <c r="E120" s="1" t="s">
        <v>156</v>
      </c>
      <c r="F120" s="1" t="s">
        <v>120</v>
      </c>
      <c r="G120" s="21" t="n">
        <f aca="false">K120/3.1416</f>
        <v>3.81970970206264</v>
      </c>
      <c r="H120" s="1" t="n">
        <v>4</v>
      </c>
      <c r="I120" s="1" t="s">
        <v>127</v>
      </c>
      <c r="J120" s="1" t="s">
        <v>130</v>
      </c>
      <c r="K120" s="1" t="n">
        <v>12</v>
      </c>
    </row>
    <row r="121" customFormat="false" ht="14.25" hidden="true" customHeight="false" outlineLevel="0" collapsed="false">
      <c r="A121" s="1" t="n">
        <v>14</v>
      </c>
      <c r="B121" s="1" t="s">
        <v>131</v>
      </c>
      <c r="C121" s="1" t="s">
        <v>191</v>
      </c>
      <c r="D121" s="23" t="s">
        <v>194</v>
      </c>
      <c r="E121" s="1" t="s">
        <v>156</v>
      </c>
      <c r="F121" s="1" t="s">
        <v>120</v>
      </c>
      <c r="G121" s="21" t="n">
        <f aca="false">K121/3.1416</f>
        <v>5.09294626941686</v>
      </c>
      <c r="H121" s="1" t="n">
        <v>7</v>
      </c>
      <c r="I121" s="1" t="s">
        <v>127</v>
      </c>
      <c r="J121" s="1" t="s">
        <v>130</v>
      </c>
      <c r="K121" s="1" t="n">
        <v>16</v>
      </c>
    </row>
    <row r="122" customFormat="false" ht="14.25" hidden="true" customHeight="false" outlineLevel="0" collapsed="false">
      <c r="A122" s="1" t="n">
        <v>14</v>
      </c>
      <c r="B122" s="1" t="s">
        <v>131</v>
      </c>
      <c r="C122" s="1" t="s">
        <v>191</v>
      </c>
      <c r="D122" s="23" t="s">
        <v>194</v>
      </c>
      <c r="E122" s="1" t="s">
        <v>156</v>
      </c>
      <c r="F122" s="1" t="s">
        <v>120</v>
      </c>
      <c r="G122" s="21" t="n">
        <f aca="false">K122/3.1416</f>
        <v>4.7746371275783</v>
      </c>
      <c r="H122" s="1" t="n">
        <v>8</v>
      </c>
      <c r="I122" s="1" t="s">
        <v>129</v>
      </c>
      <c r="J122" s="1" t="s">
        <v>130</v>
      </c>
      <c r="K122" s="1" t="n">
        <v>15</v>
      </c>
    </row>
    <row r="123" customFormat="false" ht="14.25" hidden="true" customHeight="false" outlineLevel="0" collapsed="false">
      <c r="A123" s="1" t="n">
        <v>14</v>
      </c>
      <c r="B123" s="1" t="s">
        <v>131</v>
      </c>
      <c r="C123" s="1" t="s">
        <v>191</v>
      </c>
      <c r="D123" s="23" t="s">
        <v>194</v>
      </c>
      <c r="E123" s="1" t="s">
        <v>156</v>
      </c>
      <c r="F123" s="1" t="s">
        <v>120</v>
      </c>
      <c r="G123" s="21" t="n">
        <f aca="false">K123/3.1416</f>
        <v>3.50140056022409</v>
      </c>
      <c r="H123" s="1" t="n">
        <v>5</v>
      </c>
      <c r="I123" s="1" t="s">
        <v>129</v>
      </c>
      <c r="J123" s="1" t="s">
        <v>130</v>
      </c>
      <c r="K123" s="1" t="n">
        <v>11</v>
      </c>
    </row>
    <row r="124" customFormat="false" ht="14.25" hidden="true" customHeight="false" outlineLevel="0" collapsed="false">
      <c r="A124" s="1" t="n">
        <v>18</v>
      </c>
      <c r="B124" s="1" t="s">
        <v>128</v>
      </c>
      <c r="C124" s="1" t="s">
        <v>191</v>
      </c>
      <c r="D124" s="23" t="s">
        <v>195</v>
      </c>
      <c r="E124" s="1" t="s">
        <v>156</v>
      </c>
      <c r="F124" s="1" t="s">
        <v>120</v>
      </c>
      <c r="G124" s="21" t="n">
        <f aca="false">K124/3.1416</f>
        <v>2.54647313470843</v>
      </c>
      <c r="H124" s="1" t="n">
        <v>3</v>
      </c>
      <c r="I124" s="1" t="s">
        <v>129</v>
      </c>
      <c r="J124" s="1" t="s">
        <v>130</v>
      </c>
      <c r="K124" s="1" t="n">
        <v>8</v>
      </c>
    </row>
    <row r="125" customFormat="false" ht="14.25" hidden="true" customHeight="false" outlineLevel="0" collapsed="false">
      <c r="A125" s="1" t="n">
        <v>19</v>
      </c>
      <c r="B125" s="1" t="s">
        <v>128</v>
      </c>
      <c r="C125" s="1" t="s">
        <v>191</v>
      </c>
      <c r="D125" s="23"/>
      <c r="G125" s="21" t="n">
        <f aca="false">K125/3.1416</f>
        <v>7.95772854596384</v>
      </c>
      <c r="H125" s="1" t="n">
        <v>7</v>
      </c>
      <c r="I125" s="1" t="s">
        <v>127</v>
      </c>
      <c r="J125" s="1" t="s">
        <v>130</v>
      </c>
      <c r="K125" s="1" t="n">
        <v>25</v>
      </c>
    </row>
    <row r="126" customFormat="false" ht="14.25" hidden="true" customHeight="false" outlineLevel="0" collapsed="false">
      <c r="A126" s="1" t="n">
        <v>19</v>
      </c>
      <c r="B126" s="1" t="s">
        <v>128</v>
      </c>
      <c r="C126" s="1" t="s">
        <v>191</v>
      </c>
      <c r="D126" s="23" t="s">
        <v>196</v>
      </c>
      <c r="E126" s="1" t="s">
        <v>182</v>
      </c>
      <c r="F126" s="1" t="s">
        <v>120</v>
      </c>
      <c r="G126" s="21" t="n">
        <f aca="false">K126/3.1416</f>
        <v>4.1380188439012</v>
      </c>
      <c r="H126" s="1" t="n">
        <v>7</v>
      </c>
      <c r="I126" s="1" t="s">
        <v>129</v>
      </c>
      <c r="J126" s="1" t="s">
        <v>130</v>
      </c>
      <c r="K126" s="1" t="n">
        <v>13</v>
      </c>
    </row>
    <row r="127" customFormat="false" ht="14.25" hidden="true" customHeight="false" outlineLevel="0" collapsed="false">
      <c r="A127" s="1" t="n">
        <v>19</v>
      </c>
      <c r="B127" s="1" t="s">
        <v>128</v>
      </c>
      <c r="C127" s="1" t="s">
        <v>191</v>
      </c>
      <c r="D127" s="23" t="s">
        <v>181</v>
      </c>
      <c r="E127" s="1" t="s">
        <v>182</v>
      </c>
      <c r="F127" s="1" t="s">
        <v>197</v>
      </c>
      <c r="G127" s="21" t="n">
        <f aca="false">K127/3.1416</f>
        <v>5.41125541125541</v>
      </c>
      <c r="H127" s="1" t="n">
        <v>6</v>
      </c>
      <c r="I127" s="1" t="s">
        <v>129</v>
      </c>
      <c r="J127" s="1" t="s">
        <v>130</v>
      </c>
      <c r="K127" s="1" t="n">
        <v>17</v>
      </c>
    </row>
    <row r="128" customFormat="false" ht="14.25" hidden="true" customHeight="false" outlineLevel="0" collapsed="false">
      <c r="A128" s="1" t="n">
        <v>19</v>
      </c>
      <c r="B128" s="1" t="s">
        <v>128</v>
      </c>
      <c r="C128" s="1" t="s">
        <v>191</v>
      </c>
      <c r="D128" s="23"/>
      <c r="G128" s="21" t="n">
        <f aca="false">K128/3.1416</f>
        <v>3.18309141838554</v>
      </c>
      <c r="H128" s="1" t="n">
        <v>6</v>
      </c>
      <c r="I128" s="1" t="s">
        <v>129</v>
      </c>
      <c r="J128" s="1" t="s">
        <v>130</v>
      </c>
      <c r="K128" s="1" t="n">
        <v>10</v>
      </c>
    </row>
    <row r="129" customFormat="false" ht="14.25" hidden="true" customHeight="false" outlineLevel="0" collapsed="false">
      <c r="A129" s="1" t="n">
        <v>20</v>
      </c>
      <c r="B129" s="1" t="s">
        <v>128</v>
      </c>
      <c r="C129" s="1" t="s">
        <v>191</v>
      </c>
      <c r="D129" s="23"/>
      <c r="G129" s="21" t="n">
        <f aca="false">K129/3.1416</f>
        <v>2.54647313470843</v>
      </c>
      <c r="H129" s="1" t="n">
        <v>5</v>
      </c>
      <c r="I129" s="1" t="s">
        <v>129</v>
      </c>
      <c r="J129" s="1" t="s">
        <v>130</v>
      </c>
      <c r="K129" s="1" t="n">
        <v>8</v>
      </c>
    </row>
    <row r="130" customFormat="false" ht="14.25" hidden="true" customHeight="false" outlineLevel="0" collapsed="false">
      <c r="A130" s="1" t="n">
        <v>20</v>
      </c>
      <c r="B130" s="1" t="s">
        <v>128</v>
      </c>
      <c r="C130" s="1" t="s">
        <v>191</v>
      </c>
      <c r="D130" s="23"/>
      <c r="G130" s="21" t="n">
        <f aca="false">K130/3.1416</f>
        <v>2.54647313470843</v>
      </c>
      <c r="H130" s="1" t="n">
        <v>3</v>
      </c>
      <c r="I130" s="1" t="s">
        <v>127</v>
      </c>
      <c r="J130" s="1" t="s">
        <v>130</v>
      </c>
      <c r="K130" s="1" t="n">
        <v>8</v>
      </c>
    </row>
    <row r="131" customFormat="false" ht="14.25" hidden="true" customHeight="false" outlineLevel="0" collapsed="false">
      <c r="A131" s="1" t="n">
        <v>20</v>
      </c>
      <c r="B131" s="1" t="s">
        <v>128</v>
      </c>
      <c r="C131" s="1" t="s">
        <v>191</v>
      </c>
      <c r="D131" s="23"/>
      <c r="G131" s="21" t="n">
        <f aca="false">K131/3.1416</f>
        <v>2.54647313470843</v>
      </c>
      <c r="H131" s="1" t="n">
        <v>4</v>
      </c>
      <c r="I131" s="1" t="s">
        <v>129</v>
      </c>
      <c r="J131" s="1" t="s">
        <v>130</v>
      </c>
      <c r="K131" s="1" t="n">
        <v>8</v>
      </c>
    </row>
    <row r="132" customFormat="false" ht="14.25" hidden="true" customHeight="false" outlineLevel="0" collapsed="false">
      <c r="A132" s="1" t="n">
        <v>21</v>
      </c>
      <c r="B132" s="1" t="s">
        <v>135</v>
      </c>
      <c r="C132" s="1" t="s">
        <v>191</v>
      </c>
      <c r="D132" s="23" t="s">
        <v>154</v>
      </c>
      <c r="E132" s="1" t="s">
        <v>155</v>
      </c>
      <c r="F132" s="1" t="s">
        <v>120</v>
      </c>
      <c r="G132" s="21" t="n">
        <f aca="false">K132/3.1416</f>
        <v>2.86478227654698</v>
      </c>
      <c r="H132" s="1" t="n">
        <v>3</v>
      </c>
      <c r="I132" s="1" t="s">
        <v>129</v>
      </c>
      <c r="J132" s="1" t="s">
        <v>130</v>
      </c>
      <c r="K132" s="1" t="n">
        <v>9</v>
      </c>
    </row>
    <row r="133" customFormat="false" ht="14.25" hidden="true" customHeight="false" outlineLevel="0" collapsed="false">
      <c r="A133" s="1" t="n">
        <v>21</v>
      </c>
      <c r="B133" s="1" t="s">
        <v>135</v>
      </c>
      <c r="C133" s="1" t="s">
        <v>191</v>
      </c>
      <c r="D133" s="23"/>
      <c r="G133" s="21" t="n">
        <f aca="false">K133/3.1416</f>
        <v>2.54647313470843</v>
      </c>
      <c r="H133" s="1" t="n">
        <v>2.5</v>
      </c>
      <c r="I133" s="1" t="s">
        <v>129</v>
      </c>
      <c r="J133" s="1" t="s">
        <v>130</v>
      </c>
      <c r="K133" s="1" t="n">
        <v>8</v>
      </c>
    </row>
    <row r="134" customFormat="false" ht="14.25" hidden="true" customHeight="false" outlineLevel="0" collapsed="false">
      <c r="A134" s="1" t="n">
        <v>24</v>
      </c>
      <c r="B134" s="1" t="s">
        <v>135</v>
      </c>
      <c r="C134" s="1" t="s">
        <v>191</v>
      </c>
      <c r="D134" s="23" t="s">
        <v>194</v>
      </c>
      <c r="E134" s="1" t="s">
        <v>156</v>
      </c>
      <c r="F134" s="1" t="s">
        <v>120</v>
      </c>
      <c r="G134" s="21" t="n">
        <f aca="false">K134/3.1416</f>
        <v>2.54647313470843</v>
      </c>
      <c r="H134" s="1" t="n">
        <v>3</v>
      </c>
      <c r="I134" s="1" t="s">
        <v>129</v>
      </c>
      <c r="J134" s="1" t="s">
        <v>130</v>
      </c>
      <c r="K134" s="1" t="n">
        <v>8</v>
      </c>
    </row>
    <row r="135" customFormat="false" ht="14.25" hidden="true" customHeight="false" outlineLevel="0" collapsed="false">
      <c r="A135" s="1" t="n">
        <v>26</v>
      </c>
      <c r="B135" s="1" t="s">
        <v>135</v>
      </c>
      <c r="C135" s="1" t="s">
        <v>191</v>
      </c>
      <c r="D135" s="23"/>
      <c r="G135" s="21" t="n">
        <f aca="false">K135/3.1416</f>
        <v>5.09294626941686</v>
      </c>
      <c r="H135" s="1" t="n">
        <v>6</v>
      </c>
      <c r="I135" s="1" t="s">
        <v>129</v>
      </c>
      <c r="J135" s="1" t="s">
        <v>130</v>
      </c>
      <c r="K135" s="1" t="n">
        <v>16</v>
      </c>
    </row>
    <row r="136" customFormat="false" ht="14.25" hidden="true" customHeight="false" outlineLevel="0" collapsed="false">
      <c r="A136" s="1" t="n">
        <v>26</v>
      </c>
      <c r="B136" s="1" t="s">
        <v>135</v>
      </c>
      <c r="C136" s="1" t="s">
        <v>191</v>
      </c>
      <c r="D136" s="23"/>
      <c r="E136" s="1" t="s">
        <v>156</v>
      </c>
      <c r="F136" s="1" t="s">
        <v>120</v>
      </c>
      <c r="G136" s="21" t="n">
        <f aca="false">K136/3.1416</f>
        <v>3.18309141838554</v>
      </c>
      <c r="H136" s="1" t="n">
        <v>5</v>
      </c>
      <c r="I136" s="1" t="s">
        <v>129</v>
      </c>
      <c r="J136" s="1" t="s">
        <v>130</v>
      </c>
      <c r="K136" s="1" t="n">
        <v>10</v>
      </c>
    </row>
    <row r="137" customFormat="false" ht="14.25" hidden="true" customHeight="false" outlineLevel="0" collapsed="false">
      <c r="A137" s="1" t="n">
        <v>26</v>
      </c>
      <c r="B137" s="1" t="s">
        <v>135</v>
      </c>
      <c r="C137" s="1" t="s">
        <v>191</v>
      </c>
      <c r="D137" s="23"/>
      <c r="G137" s="21" t="n">
        <f aca="false">K137/3.1416</f>
        <v>2.54647313470843</v>
      </c>
      <c r="H137" s="1" t="n">
        <v>4</v>
      </c>
      <c r="I137" s="1" t="s">
        <v>129</v>
      </c>
      <c r="J137" s="1" t="s">
        <v>130</v>
      </c>
      <c r="K137" s="1" t="n">
        <v>8</v>
      </c>
    </row>
    <row r="138" customFormat="false" ht="14.25" hidden="true" customHeight="false" outlineLevel="0" collapsed="false">
      <c r="A138" s="1" t="n">
        <v>28</v>
      </c>
      <c r="B138" s="1" t="s">
        <v>82</v>
      </c>
      <c r="C138" s="1" t="s">
        <v>191</v>
      </c>
      <c r="D138" s="23"/>
      <c r="G138" s="21" t="n">
        <f aca="false">K138/3.1416</f>
        <v>3.50140056022409</v>
      </c>
      <c r="H138" s="1" t="n">
        <v>6</v>
      </c>
      <c r="I138" s="1" t="s">
        <v>129</v>
      </c>
      <c r="J138" s="1" t="s">
        <v>130</v>
      </c>
      <c r="K138" s="1" t="n">
        <v>11</v>
      </c>
    </row>
    <row r="139" customFormat="false" ht="14.25" hidden="true" customHeight="false" outlineLevel="0" collapsed="false">
      <c r="A139" s="1" t="n">
        <v>29</v>
      </c>
      <c r="B139" s="1" t="s">
        <v>131</v>
      </c>
      <c r="C139" s="1" t="s">
        <v>191</v>
      </c>
      <c r="D139" s="23"/>
      <c r="G139" s="21" t="n">
        <f aca="false">K139/3.1416</f>
        <v>3.81970970206264</v>
      </c>
      <c r="H139" s="1" t="n">
        <v>7</v>
      </c>
      <c r="I139" s="1" t="s">
        <v>129</v>
      </c>
      <c r="J139" s="1" t="s">
        <v>130</v>
      </c>
      <c r="K139" s="1" t="n">
        <v>12</v>
      </c>
    </row>
    <row r="140" customFormat="false" ht="14.25" hidden="true" customHeight="false" outlineLevel="0" collapsed="false">
      <c r="A140" s="1" t="n">
        <v>31</v>
      </c>
      <c r="B140" s="1" t="s">
        <v>131</v>
      </c>
      <c r="C140" s="1" t="s">
        <v>191</v>
      </c>
      <c r="D140" s="23"/>
      <c r="E140" s="1" t="s">
        <v>157</v>
      </c>
      <c r="F140" s="1" t="s">
        <v>120</v>
      </c>
      <c r="G140" s="21" t="n">
        <f aca="false">K140/3.1416</f>
        <v>2.86478227654698</v>
      </c>
      <c r="H140" s="1" t="n">
        <v>5</v>
      </c>
      <c r="I140" s="1" t="s">
        <v>129</v>
      </c>
      <c r="J140" s="1" t="s">
        <v>130</v>
      </c>
      <c r="K140" s="1" t="n">
        <v>9</v>
      </c>
    </row>
    <row r="141" customFormat="false" ht="14.25" hidden="true" customHeight="false" outlineLevel="0" collapsed="false">
      <c r="A141" s="1" t="n">
        <v>15</v>
      </c>
      <c r="B141" s="1" t="s">
        <v>131</v>
      </c>
      <c r="C141" s="1" t="s">
        <v>198</v>
      </c>
      <c r="D141" s="23" t="s">
        <v>199</v>
      </c>
      <c r="E141" s="1" t="s">
        <v>200</v>
      </c>
      <c r="F141" s="1" t="s">
        <v>120</v>
      </c>
      <c r="G141" s="21" t="n">
        <f aca="false">K141/3.1416</f>
        <v>2.54647313470843</v>
      </c>
      <c r="H141" s="1" t="n">
        <v>2</v>
      </c>
      <c r="I141" s="1" t="s">
        <v>129</v>
      </c>
      <c r="J141" s="1" t="s">
        <v>130</v>
      </c>
      <c r="K141" s="1" t="n">
        <v>8</v>
      </c>
    </row>
    <row r="142" customFormat="false" ht="14.25" hidden="true" customHeight="false" outlineLevel="0" collapsed="false">
      <c r="A142" s="1" t="n">
        <v>24</v>
      </c>
      <c r="B142" s="1" t="s">
        <v>135</v>
      </c>
      <c r="C142" s="1" t="s">
        <v>198</v>
      </c>
      <c r="D142" s="23" t="s">
        <v>199</v>
      </c>
      <c r="E142" s="1" t="s">
        <v>200</v>
      </c>
      <c r="F142" s="1" t="s">
        <v>120</v>
      </c>
      <c r="G142" s="21" t="n">
        <f aca="false">K142/3.1416</f>
        <v>2.54647313470843</v>
      </c>
      <c r="H142" s="1" t="n">
        <v>4</v>
      </c>
      <c r="I142" s="1" t="s">
        <v>129</v>
      </c>
      <c r="J142" s="1" t="s">
        <v>130</v>
      </c>
      <c r="K142" s="1" t="n">
        <v>8</v>
      </c>
    </row>
    <row r="143" customFormat="false" ht="14.25" hidden="true" customHeight="false" outlineLevel="0" collapsed="false">
      <c r="A143" s="1" t="n">
        <v>24</v>
      </c>
      <c r="B143" s="1" t="s">
        <v>135</v>
      </c>
      <c r="C143" s="1" t="s">
        <v>198</v>
      </c>
      <c r="D143" s="23" t="s">
        <v>199</v>
      </c>
      <c r="E143" s="1" t="s">
        <v>200</v>
      </c>
      <c r="F143" s="1" t="s">
        <v>120</v>
      </c>
      <c r="G143" s="21" t="n">
        <f aca="false">K143/3.1416</f>
        <v>4.1380188439012</v>
      </c>
      <c r="H143" s="1" t="n">
        <v>6</v>
      </c>
      <c r="I143" s="1" t="s">
        <v>127</v>
      </c>
      <c r="J143" s="1" t="s">
        <v>130</v>
      </c>
      <c r="K143" s="1" t="n">
        <v>13</v>
      </c>
    </row>
    <row r="144" customFormat="false" ht="14.25" hidden="true" customHeight="false" outlineLevel="0" collapsed="false">
      <c r="A144" s="1" t="n">
        <v>26</v>
      </c>
      <c r="B144" s="1" t="s">
        <v>135</v>
      </c>
      <c r="C144" s="1" t="s">
        <v>198</v>
      </c>
      <c r="D144" s="23" t="s">
        <v>199</v>
      </c>
      <c r="E144" s="1" t="s">
        <v>200</v>
      </c>
      <c r="F144" s="1" t="s">
        <v>120</v>
      </c>
      <c r="G144" s="21" t="n">
        <f aca="false">K144/3.1416</f>
        <v>4.45632798573975</v>
      </c>
      <c r="H144" s="1" t="n">
        <v>6</v>
      </c>
      <c r="I144" s="1" t="s">
        <v>127</v>
      </c>
      <c r="J144" s="1" t="s">
        <v>130</v>
      </c>
      <c r="K144" s="1" t="n">
        <v>14</v>
      </c>
    </row>
    <row r="145" customFormat="false" ht="14.25" hidden="true" customHeight="false" outlineLevel="0" collapsed="false">
      <c r="A145" s="1" t="n">
        <v>30</v>
      </c>
      <c r="B145" s="1" t="s">
        <v>131</v>
      </c>
      <c r="C145" s="1" t="s">
        <v>198</v>
      </c>
      <c r="D145" s="23" t="s">
        <v>199</v>
      </c>
      <c r="E145" s="1" t="s">
        <v>200</v>
      </c>
      <c r="F145" s="1" t="s">
        <v>138</v>
      </c>
      <c r="G145" s="21" t="n">
        <f aca="false">K145/3.1416</f>
        <v>6.04787369493252</v>
      </c>
      <c r="H145" s="1" t="n">
        <v>7</v>
      </c>
      <c r="I145" s="1" t="s">
        <v>129</v>
      </c>
      <c r="J145" s="1" t="s">
        <v>130</v>
      </c>
      <c r="K145" s="1" t="n">
        <v>19</v>
      </c>
    </row>
    <row r="146" customFormat="false" ht="14.25" hidden="true" customHeight="false" outlineLevel="0" collapsed="false">
      <c r="A146" s="1" t="n">
        <v>2</v>
      </c>
      <c r="B146" s="1" t="s">
        <v>72</v>
      </c>
      <c r="C146" s="1" t="s">
        <v>198</v>
      </c>
      <c r="D146" s="23" t="s">
        <v>199</v>
      </c>
      <c r="E146" s="1" t="s">
        <v>200</v>
      </c>
      <c r="F146" s="1" t="s">
        <v>120</v>
      </c>
      <c r="G146" s="21" t="n">
        <f aca="false">ROUND(K146/PI(),0)</f>
        <v>4</v>
      </c>
      <c r="H146" s="1" t="n">
        <v>6</v>
      </c>
      <c r="I146" s="1" t="s">
        <v>129</v>
      </c>
      <c r="J146" s="1" t="s">
        <v>158</v>
      </c>
      <c r="K146" s="1" t="n">
        <v>12</v>
      </c>
    </row>
    <row r="147" customFormat="false" ht="14.25" hidden="true" customHeight="false" outlineLevel="0" collapsed="false">
      <c r="A147" s="1" t="n">
        <v>4</v>
      </c>
      <c r="B147" s="1" t="s">
        <v>82</v>
      </c>
      <c r="C147" s="1" t="s">
        <v>198</v>
      </c>
      <c r="D147" s="23" t="s">
        <v>199</v>
      </c>
      <c r="E147" s="1" t="s">
        <v>200</v>
      </c>
      <c r="F147" s="1" t="s">
        <v>120</v>
      </c>
      <c r="G147" s="21" t="n">
        <f aca="false">ROUND(K147/PI(),0)</f>
        <v>4</v>
      </c>
      <c r="H147" s="1" t="n">
        <v>4</v>
      </c>
      <c r="I147" s="1" t="s">
        <v>129</v>
      </c>
      <c r="J147" s="1" t="s">
        <v>152</v>
      </c>
      <c r="K147" s="1" t="n">
        <v>11</v>
      </c>
    </row>
    <row r="148" customFormat="false" ht="14.25" hidden="true" customHeight="false" outlineLevel="0" collapsed="false">
      <c r="A148" s="1" t="n">
        <v>5</v>
      </c>
      <c r="B148" s="1" t="s">
        <v>92</v>
      </c>
      <c r="C148" s="1" t="s">
        <v>201</v>
      </c>
      <c r="D148" s="23" t="s">
        <v>202</v>
      </c>
      <c r="E148" s="1" t="s">
        <v>203</v>
      </c>
      <c r="F148" s="1" t="s">
        <v>120</v>
      </c>
      <c r="G148" s="21" t="n">
        <f aca="false">ROUND(K148/PI(),0)</f>
        <v>10</v>
      </c>
      <c r="H148" s="1" t="n">
        <v>8</v>
      </c>
      <c r="I148" s="1" t="s">
        <v>129</v>
      </c>
      <c r="J148" s="1" t="s">
        <v>152</v>
      </c>
      <c r="K148" s="1" t="n">
        <v>30</v>
      </c>
    </row>
    <row r="149" customFormat="false" ht="14.25" hidden="true" customHeight="false" outlineLevel="0" collapsed="false">
      <c r="A149" s="1" t="n">
        <v>7</v>
      </c>
      <c r="B149" s="1" t="s">
        <v>101</v>
      </c>
      <c r="C149" s="1" t="s">
        <v>204</v>
      </c>
      <c r="D149" s="23" t="s">
        <v>205</v>
      </c>
      <c r="E149" s="1" t="s">
        <v>206</v>
      </c>
      <c r="F149" s="1" t="s">
        <v>138</v>
      </c>
      <c r="G149" s="21" t="n">
        <f aca="false">ROUND(K149/PI(),0)</f>
        <v>5</v>
      </c>
      <c r="H149" s="1" t="n">
        <v>2.5</v>
      </c>
      <c r="I149" s="1" t="s">
        <v>129</v>
      </c>
      <c r="J149" s="1" t="s">
        <v>207</v>
      </c>
      <c r="K149" s="1" t="n">
        <v>15</v>
      </c>
    </row>
    <row r="150" customFormat="false" ht="14.25" hidden="true" customHeight="false" outlineLevel="0" collapsed="false">
      <c r="A150" s="1" t="n">
        <v>25</v>
      </c>
      <c r="B150" s="1" t="s">
        <v>135</v>
      </c>
      <c r="C150" s="1" t="s">
        <v>208</v>
      </c>
      <c r="D150" s="23" t="s">
        <v>189</v>
      </c>
      <c r="E150" s="1" t="s">
        <v>145</v>
      </c>
      <c r="F150" s="1" t="s">
        <v>120</v>
      </c>
      <c r="G150" s="21" t="n">
        <f aca="false">K150/3.1416</f>
        <v>2.54647313470843</v>
      </c>
      <c r="H150" s="1" t="n">
        <v>5</v>
      </c>
      <c r="I150" s="1" t="s">
        <v>129</v>
      </c>
      <c r="J150" s="1" t="s">
        <v>149</v>
      </c>
      <c r="K150" s="1" t="n">
        <v>8</v>
      </c>
    </row>
    <row r="151" customFormat="false" ht="14.25" hidden="true" customHeight="false" outlineLevel="0" collapsed="false">
      <c r="A151" s="1" t="n">
        <v>1</v>
      </c>
      <c r="B151" s="1" t="s">
        <v>72</v>
      </c>
      <c r="C151" s="1" t="s">
        <v>208</v>
      </c>
      <c r="D151" s="23"/>
      <c r="G151" s="21" t="n">
        <f aca="false">ROUND(K151/PI(),0)</f>
        <v>7</v>
      </c>
      <c r="H151" s="1" t="n">
        <v>10</v>
      </c>
      <c r="I151" s="1" t="s">
        <v>129</v>
      </c>
      <c r="J151" s="1" t="s">
        <v>209</v>
      </c>
      <c r="K151" s="1" t="n">
        <v>21</v>
      </c>
    </row>
    <row r="152" customFormat="false" ht="14.25" hidden="true" customHeight="false" outlineLevel="0" collapsed="false">
      <c r="A152" s="1" t="n">
        <v>1</v>
      </c>
      <c r="B152" s="1" t="s">
        <v>72</v>
      </c>
      <c r="C152" s="1" t="s">
        <v>208</v>
      </c>
      <c r="D152" s="23"/>
      <c r="E152" s="1" t="s">
        <v>157</v>
      </c>
      <c r="F152" s="1" t="s">
        <v>120</v>
      </c>
      <c r="G152" s="21" t="n">
        <f aca="false">ROUND(K152/PI(),0)</f>
        <v>7</v>
      </c>
      <c r="H152" s="1" t="n">
        <v>7</v>
      </c>
      <c r="I152" s="1" t="s">
        <v>129</v>
      </c>
      <c r="J152" s="1" t="s">
        <v>162</v>
      </c>
      <c r="K152" s="1" t="n">
        <v>21</v>
      </c>
    </row>
    <row r="153" customFormat="false" ht="14.25" hidden="true" customHeight="false" outlineLevel="0" collapsed="false">
      <c r="A153" s="1" t="n">
        <v>1</v>
      </c>
      <c r="B153" s="1" t="s">
        <v>72</v>
      </c>
      <c r="C153" s="1" t="s">
        <v>208</v>
      </c>
      <c r="D153" s="23"/>
      <c r="G153" s="21" t="n">
        <f aca="false">ROUND(K153/PI(),0)</f>
        <v>5</v>
      </c>
      <c r="H153" s="1" t="n">
        <v>8</v>
      </c>
      <c r="I153" s="1" t="s">
        <v>127</v>
      </c>
      <c r="J153" s="1" t="s">
        <v>162</v>
      </c>
      <c r="K153" s="1" t="n">
        <v>17</v>
      </c>
    </row>
    <row r="154" customFormat="false" ht="14.25" hidden="true" customHeight="false" outlineLevel="0" collapsed="false">
      <c r="A154" s="1" t="n">
        <v>1</v>
      </c>
      <c r="B154" s="1" t="s">
        <v>72</v>
      </c>
      <c r="C154" s="1" t="s">
        <v>208</v>
      </c>
      <c r="D154" s="23"/>
      <c r="G154" s="21" t="n">
        <f aca="false">ROUND(K154/PI(),0)</f>
        <v>3</v>
      </c>
      <c r="H154" s="1" t="n">
        <v>6</v>
      </c>
      <c r="I154" s="1" t="s">
        <v>127</v>
      </c>
      <c r="J154" s="1" t="s">
        <v>162</v>
      </c>
      <c r="K154" s="1" t="n">
        <v>9</v>
      </c>
    </row>
    <row r="155" customFormat="false" ht="14.25" hidden="true" customHeight="false" outlineLevel="0" collapsed="false">
      <c r="A155" s="1" t="n">
        <v>2</v>
      </c>
      <c r="B155" s="1" t="s">
        <v>72</v>
      </c>
      <c r="C155" s="1" t="s">
        <v>208</v>
      </c>
      <c r="D155" s="23"/>
      <c r="G155" s="21" t="n">
        <f aca="false">ROUND(K155/PI(),0)</f>
        <v>36</v>
      </c>
      <c r="H155" s="1" t="n">
        <v>15</v>
      </c>
      <c r="I155" s="1" t="s">
        <v>129</v>
      </c>
      <c r="J155" s="1" t="s">
        <v>162</v>
      </c>
      <c r="K155" s="1" t="n">
        <v>113</v>
      </c>
    </row>
    <row r="156" customFormat="false" ht="14.25" hidden="true" customHeight="false" outlineLevel="0" collapsed="false">
      <c r="A156" s="1" t="n">
        <v>2</v>
      </c>
      <c r="B156" s="1" t="s">
        <v>72</v>
      </c>
      <c r="C156" s="1" t="s">
        <v>208</v>
      </c>
      <c r="D156" s="23"/>
      <c r="E156" s="1" t="s">
        <v>145</v>
      </c>
      <c r="F156" s="1" t="s">
        <v>120</v>
      </c>
      <c r="G156" s="21" t="n">
        <f aca="false">ROUND(K156/PI(),0)</f>
        <v>4</v>
      </c>
      <c r="H156" s="1" t="n">
        <v>6</v>
      </c>
      <c r="I156" s="1" t="s">
        <v>129</v>
      </c>
      <c r="J156" s="1" t="s">
        <v>162</v>
      </c>
      <c r="K156" s="1" t="n">
        <v>12</v>
      </c>
    </row>
    <row r="157" customFormat="false" ht="14.25" hidden="true" customHeight="false" outlineLevel="0" collapsed="false">
      <c r="A157" s="1" t="n">
        <v>3</v>
      </c>
      <c r="B157" s="1" t="s">
        <v>82</v>
      </c>
      <c r="C157" s="1" t="s">
        <v>208</v>
      </c>
      <c r="D157" s="23"/>
      <c r="E157" s="1" t="s">
        <v>210</v>
      </c>
      <c r="F157" s="1" t="s">
        <v>120</v>
      </c>
      <c r="G157" s="21" t="n">
        <f aca="false">ROUND(K157/PI(),0)</f>
        <v>3</v>
      </c>
      <c r="H157" s="1" t="n">
        <v>6</v>
      </c>
      <c r="I157" s="1" t="s">
        <v>129</v>
      </c>
      <c r="J157" s="1" t="s">
        <v>162</v>
      </c>
      <c r="K157" s="1" t="n">
        <v>10</v>
      </c>
    </row>
    <row r="158" customFormat="false" ht="14.25" hidden="true" customHeight="false" outlineLevel="0" collapsed="false">
      <c r="A158" s="1" t="n">
        <v>3</v>
      </c>
      <c r="B158" s="1" t="s">
        <v>82</v>
      </c>
      <c r="C158" s="1" t="s">
        <v>208</v>
      </c>
      <c r="D158" s="23"/>
      <c r="E158" s="1" t="s">
        <v>210</v>
      </c>
      <c r="F158" s="1" t="s">
        <v>120</v>
      </c>
      <c r="G158" s="21" t="n">
        <f aca="false">ROUND(K158/PI(),0)</f>
        <v>8</v>
      </c>
      <c r="H158" s="1" t="n">
        <v>7</v>
      </c>
      <c r="I158" s="1" t="s">
        <v>129</v>
      </c>
      <c r="J158" s="1" t="s">
        <v>162</v>
      </c>
      <c r="K158" s="1" t="n">
        <v>25</v>
      </c>
    </row>
    <row r="159" customFormat="false" ht="14.25" hidden="true" customHeight="false" outlineLevel="0" collapsed="false">
      <c r="A159" s="1" t="n">
        <v>2</v>
      </c>
      <c r="B159" s="1" t="s">
        <v>82</v>
      </c>
      <c r="C159" s="1" t="s">
        <v>211</v>
      </c>
      <c r="D159" s="23"/>
      <c r="E159" s="1" t="s">
        <v>157</v>
      </c>
      <c r="F159" s="2" t="s">
        <v>120</v>
      </c>
      <c r="G159" s="21" t="n">
        <f aca="false">K159/3.1416</f>
        <v>3.18309141838554</v>
      </c>
      <c r="H159" s="1" t="n">
        <v>0</v>
      </c>
      <c r="I159" s="2" t="s">
        <v>74</v>
      </c>
      <c r="J159" s="1" t="s">
        <v>184</v>
      </c>
      <c r="K159" s="1" t="n">
        <v>10</v>
      </c>
    </row>
    <row r="160" customFormat="false" ht="14.25" hidden="true" customHeight="false" outlineLevel="0" collapsed="false">
      <c r="A160" s="1" t="n">
        <v>7</v>
      </c>
      <c r="B160" s="1" t="s">
        <v>122</v>
      </c>
      <c r="C160" s="1" t="s">
        <v>211</v>
      </c>
      <c r="D160" s="23" t="s">
        <v>212</v>
      </c>
      <c r="E160" s="1" t="s">
        <v>124</v>
      </c>
      <c r="F160" s="2" t="s">
        <v>138</v>
      </c>
      <c r="G160" s="21" t="n">
        <f aca="false">K160/3.1416</f>
        <v>2.22816399286988</v>
      </c>
      <c r="H160" s="1" t="n">
        <v>3.5</v>
      </c>
      <c r="I160" s="2" t="s">
        <v>74</v>
      </c>
      <c r="J160" s="1" t="s">
        <v>184</v>
      </c>
      <c r="K160" s="1" t="n">
        <v>7</v>
      </c>
    </row>
    <row r="161" customFormat="false" ht="14.25" hidden="true" customHeight="false" outlineLevel="0" collapsed="false">
      <c r="A161" s="1" t="n">
        <v>8</v>
      </c>
      <c r="B161" s="1" t="s">
        <v>122</v>
      </c>
      <c r="C161" s="1" t="s">
        <v>211</v>
      </c>
      <c r="D161" s="23" t="s">
        <v>202</v>
      </c>
      <c r="E161" s="1" t="s">
        <v>203</v>
      </c>
      <c r="F161" s="2" t="s">
        <v>120</v>
      </c>
      <c r="G161" s="21" t="n">
        <f aca="false">K161/3.1416</f>
        <v>15.2788388082506</v>
      </c>
      <c r="H161" s="1" t="n">
        <v>15</v>
      </c>
      <c r="I161" s="2" t="s">
        <v>129</v>
      </c>
      <c r="J161" s="1" t="s">
        <v>184</v>
      </c>
      <c r="K161" s="1" t="n">
        <v>48</v>
      </c>
    </row>
    <row r="162" customFormat="false" ht="14.25" hidden="true" customHeight="false" outlineLevel="0" collapsed="false">
      <c r="A162" s="1" t="n">
        <v>8</v>
      </c>
      <c r="B162" s="1" t="s">
        <v>122</v>
      </c>
      <c r="C162" s="1" t="s">
        <v>211</v>
      </c>
      <c r="D162" s="23" t="s">
        <v>202</v>
      </c>
      <c r="E162" s="1" t="s">
        <v>203</v>
      </c>
      <c r="F162" s="2" t="s">
        <v>120</v>
      </c>
      <c r="G162" s="21" t="n">
        <f aca="false">K162/3.1416</f>
        <v>3.50140056022409</v>
      </c>
      <c r="H162" s="1" t="n">
        <v>10</v>
      </c>
      <c r="I162" s="2" t="s">
        <v>129</v>
      </c>
      <c r="J162" s="1" t="s">
        <v>184</v>
      </c>
      <c r="K162" s="1" t="n">
        <v>11</v>
      </c>
    </row>
    <row r="163" customFormat="false" ht="14.25" hidden="true" customHeight="false" outlineLevel="0" collapsed="false">
      <c r="A163" s="1" t="n">
        <v>9</v>
      </c>
      <c r="B163" s="1" t="s">
        <v>122</v>
      </c>
      <c r="C163" s="1" t="s">
        <v>211</v>
      </c>
      <c r="D163" s="23" t="s">
        <v>202</v>
      </c>
      <c r="E163" s="1" t="s">
        <v>203</v>
      </c>
      <c r="F163" s="2" t="s">
        <v>120</v>
      </c>
      <c r="G163" s="21" t="n">
        <f aca="false">K163/3.1416</f>
        <v>3.81970970206264</v>
      </c>
      <c r="H163" s="1" t="n">
        <v>7</v>
      </c>
      <c r="I163" s="2" t="s">
        <v>129</v>
      </c>
      <c r="J163" s="1" t="s">
        <v>184</v>
      </c>
      <c r="K163" s="1" t="n">
        <v>12</v>
      </c>
    </row>
    <row r="164" customFormat="false" ht="14.25" hidden="true" customHeight="false" outlineLevel="0" collapsed="false">
      <c r="A164" s="1" t="n">
        <v>9</v>
      </c>
      <c r="B164" s="1" t="s">
        <v>122</v>
      </c>
      <c r="C164" s="1" t="s">
        <v>211</v>
      </c>
      <c r="D164" s="23" t="s">
        <v>202</v>
      </c>
      <c r="E164" s="1" t="s">
        <v>203</v>
      </c>
      <c r="F164" s="2" t="s">
        <v>120</v>
      </c>
      <c r="G164" s="21" t="n">
        <f aca="false">K164/3.1416</f>
        <v>4.1380188439012</v>
      </c>
      <c r="H164" s="1" t="n">
        <v>10</v>
      </c>
      <c r="I164" s="2" t="s">
        <v>129</v>
      </c>
      <c r="J164" s="1" t="s">
        <v>184</v>
      </c>
      <c r="K164" s="1" t="n">
        <v>13</v>
      </c>
    </row>
    <row r="165" customFormat="false" ht="15.65" hidden="true" customHeight="false" outlineLevel="0" collapsed="false">
      <c r="A165" s="1" t="n">
        <v>12</v>
      </c>
      <c r="B165" s="1" t="s">
        <v>128</v>
      </c>
      <c r="C165" s="1" t="s">
        <v>211</v>
      </c>
      <c r="D165" s="24" t="s">
        <v>213</v>
      </c>
      <c r="E165" s="1" t="s">
        <v>214</v>
      </c>
      <c r="F165" s="1" t="s">
        <v>138</v>
      </c>
      <c r="G165" s="21" t="n">
        <f aca="false">K165/3.1416</f>
        <v>2.54647313470843</v>
      </c>
      <c r="H165" s="1" t="n">
        <v>4</v>
      </c>
      <c r="I165" s="1" t="s">
        <v>127</v>
      </c>
      <c r="J165" s="1" t="s">
        <v>184</v>
      </c>
      <c r="K165" s="1" t="n">
        <v>8</v>
      </c>
    </row>
    <row r="166" customFormat="false" ht="14.25" hidden="true" customHeight="false" outlineLevel="0" collapsed="false">
      <c r="A166" s="1" t="n">
        <v>12</v>
      </c>
      <c r="B166" s="1" t="s">
        <v>128</v>
      </c>
      <c r="C166" s="1" t="s">
        <v>211</v>
      </c>
      <c r="D166" s="23" t="s">
        <v>215</v>
      </c>
      <c r="E166" s="1" t="s">
        <v>203</v>
      </c>
      <c r="F166" s="1" t="s">
        <v>138</v>
      </c>
      <c r="G166" s="21" t="n">
        <f aca="false">K166/3.1416</f>
        <v>6.04787369493252</v>
      </c>
      <c r="H166" s="1" t="n">
        <v>7</v>
      </c>
      <c r="I166" s="1" t="s">
        <v>127</v>
      </c>
      <c r="J166" s="1" t="s">
        <v>184</v>
      </c>
      <c r="K166" s="1" t="n">
        <v>19</v>
      </c>
    </row>
    <row r="167" customFormat="false" ht="14.25" hidden="true" customHeight="false" outlineLevel="0" collapsed="false">
      <c r="A167" s="1" t="n">
        <v>12</v>
      </c>
      <c r="B167" s="1" t="s">
        <v>128</v>
      </c>
      <c r="C167" s="1" t="s">
        <v>211</v>
      </c>
      <c r="D167" s="23" t="s">
        <v>216</v>
      </c>
      <c r="E167" s="1" t="s">
        <v>203</v>
      </c>
      <c r="F167" s="1" t="s">
        <v>138</v>
      </c>
      <c r="G167" s="21" t="n">
        <f aca="false">K167/3.1416</f>
        <v>3.81970970206264</v>
      </c>
      <c r="H167" s="1" t="n">
        <v>5</v>
      </c>
      <c r="I167" s="1" t="s">
        <v>129</v>
      </c>
      <c r="J167" s="1" t="s">
        <v>184</v>
      </c>
      <c r="K167" s="1" t="n">
        <v>12</v>
      </c>
    </row>
    <row r="168" customFormat="false" ht="14.25" hidden="true" customHeight="false" outlineLevel="0" collapsed="false">
      <c r="A168" s="1" t="n">
        <v>12</v>
      </c>
      <c r="B168" s="1" t="s">
        <v>128</v>
      </c>
      <c r="C168" s="1" t="s">
        <v>211</v>
      </c>
      <c r="D168" s="23" t="s">
        <v>216</v>
      </c>
      <c r="E168" s="1" t="s">
        <v>203</v>
      </c>
      <c r="F168" s="1" t="s">
        <v>138</v>
      </c>
      <c r="G168" s="21" t="n">
        <f aca="false">K168/3.1416</f>
        <v>4.7746371275783</v>
      </c>
      <c r="H168" s="1" t="n">
        <v>6</v>
      </c>
      <c r="I168" s="1" t="s">
        <v>129</v>
      </c>
      <c r="J168" s="1" t="s">
        <v>184</v>
      </c>
      <c r="K168" s="1" t="n">
        <v>15</v>
      </c>
    </row>
    <row r="169" customFormat="false" ht="14.25" hidden="true" customHeight="false" outlineLevel="0" collapsed="false">
      <c r="A169" s="1" t="n">
        <v>14</v>
      </c>
      <c r="B169" s="1" t="s">
        <v>131</v>
      </c>
      <c r="C169" s="1" t="s">
        <v>211</v>
      </c>
      <c r="D169" s="23" t="s">
        <v>217</v>
      </c>
      <c r="E169" s="1" t="s">
        <v>160</v>
      </c>
      <c r="F169" s="1" t="s">
        <v>197</v>
      </c>
      <c r="G169" s="21" t="n">
        <f aca="false">K169/3.1416</f>
        <v>5.09294626941686</v>
      </c>
      <c r="H169" s="1" t="n">
        <v>5.5</v>
      </c>
      <c r="I169" s="1" t="s">
        <v>129</v>
      </c>
      <c r="J169" s="1" t="s">
        <v>184</v>
      </c>
      <c r="K169" s="1" t="n">
        <v>16</v>
      </c>
    </row>
    <row r="170" customFormat="false" ht="14.25" hidden="true" customHeight="false" outlineLevel="0" collapsed="false">
      <c r="A170" s="1" t="n">
        <v>14</v>
      </c>
      <c r="B170" s="1" t="s">
        <v>131</v>
      </c>
      <c r="C170" s="1" t="s">
        <v>211</v>
      </c>
      <c r="D170" s="23" t="s">
        <v>217</v>
      </c>
      <c r="E170" s="1" t="s">
        <v>160</v>
      </c>
      <c r="F170" s="1" t="s">
        <v>197</v>
      </c>
      <c r="G170" s="21" t="n">
        <f aca="false">K170/3.1416</f>
        <v>9.54927425515661</v>
      </c>
      <c r="H170" s="1" t="n">
        <v>10</v>
      </c>
      <c r="I170" s="1" t="s">
        <v>129</v>
      </c>
      <c r="J170" s="1" t="s">
        <v>184</v>
      </c>
      <c r="K170" s="1" t="n">
        <v>30</v>
      </c>
    </row>
    <row r="171" customFormat="false" ht="14.25" hidden="true" customHeight="false" outlineLevel="0" collapsed="false">
      <c r="A171" s="1" t="n">
        <v>17</v>
      </c>
      <c r="B171" s="1" t="s">
        <v>128</v>
      </c>
      <c r="C171" s="1" t="s">
        <v>211</v>
      </c>
      <c r="D171" s="23" t="s">
        <v>212</v>
      </c>
      <c r="E171" s="1" t="s">
        <v>124</v>
      </c>
      <c r="F171" s="1" t="s">
        <v>138</v>
      </c>
      <c r="G171" s="21" t="n">
        <f aca="false">K171/3.1416</f>
        <v>3.18309141838554</v>
      </c>
      <c r="H171" s="1" t="n">
        <v>5</v>
      </c>
      <c r="I171" s="1" t="s">
        <v>129</v>
      </c>
      <c r="J171" s="1" t="s">
        <v>184</v>
      </c>
      <c r="K171" s="1" t="n">
        <v>10</v>
      </c>
    </row>
    <row r="172" customFormat="false" ht="14.25" hidden="true" customHeight="false" outlineLevel="0" collapsed="false">
      <c r="A172" s="1" t="n">
        <v>19</v>
      </c>
      <c r="B172" s="1" t="s">
        <v>128</v>
      </c>
      <c r="C172" s="1" t="s">
        <v>211</v>
      </c>
      <c r="D172" s="23" t="s">
        <v>216</v>
      </c>
      <c r="E172" s="1" t="s">
        <v>203</v>
      </c>
      <c r="F172" s="1" t="s">
        <v>138</v>
      </c>
      <c r="G172" s="21" t="n">
        <f aca="false">K172/3.1416</f>
        <v>6.36618283677107</v>
      </c>
      <c r="H172" s="1" t="n">
        <v>7</v>
      </c>
      <c r="I172" s="1" t="s">
        <v>129</v>
      </c>
      <c r="J172" s="1" t="s">
        <v>184</v>
      </c>
      <c r="K172" s="1" t="n">
        <v>20</v>
      </c>
    </row>
    <row r="173" customFormat="false" ht="14.25" hidden="true" customHeight="false" outlineLevel="0" collapsed="false">
      <c r="A173" s="1" t="n">
        <v>22</v>
      </c>
      <c r="B173" s="1" t="s">
        <v>135</v>
      </c>
      <c r="C173" s="1" t="s">
        <v>211</v>
      </c>
      <c r="D173" s="23"/>
      <c r="G173" s="21" t="n">
        <f aca="false">K173/3.1416</f>
        <v>10.8225108225108</v>
      </c>
      <c r="H173" s="1" t="n">
        <v>11</v>
      </c>
      <c r="I173" s="1" t="s">
        <v>129</v>
      </c>
      <c r="J173" s="1" t="s">
        <v>184</v>
      </c>
      <c r="K173" s="1" t="n">
        <v>34</v>
      </c>
    </row>
    <row r="174" customFormat="false" ht="14.25" hidden="true" customHeight="false" outlineLevel="0" collapsed="false">
      <c r="A174" s="1" t="n">
        <v>24</v>
      </c>
      <c r="B174" s="1" t="s">
        <v>135</v>
      </c>
      <c r="C174" s="1" t="s">
        <v>211</v>
      </c>
      <c r="D174" s="23" t="s">
        <v>218</v>
      </c>
      <c r="E174" s="1" t="s">
        <v>219</v>
      </c>
      <c r="F174" s="1" t="s">
        <v>138</v>
      </c>
      <c r="G174" s="21" t="n">
        <f aca="false">K174/3.1416</f>
        <v>2.86478227654698</v>
      </c>
      <c r="H174" s="1" t="n">
        <v>4</v>
      </c>
      <c r="I174" s="1" t="s">
        <v>129</v>
      </c>
      <c r="J174" s="1" t="s">
        <v>184</v>
      </c>
      <c r="K174" s="1" t="n">
        <v>9</v>
      </c>
    </row>
    <row r="175" customFormat="false" ht="14.25" hidden="true" customHeight="false" outlineLevel="0" collapsed="false">
      <c r="A175" s="1" t="n">
        <v>7</v>
      </c>
      <c r="B175" s="1" t="s">
        <v>122</v>
      </c>
      <c r="C175" s="1" t="s">
        <v>220</v>
      </c>
      <c r="D175" s="23" t="s">
        <v>221</v>
      </c>
      <c r="E175" s="1" t="s">
        <v>222</v>
      </c>
      <c r="F175" s="2" t="s">
        <v>138</v>
      </c>
      <c r="G175" s="21" t="n">
        <f aca="false">K175/3.1416</f>
        <v>9.23096511331806</v>
      </c>
      <c r="H175" s="1" t="n">
        <v>8</v>
      </c>
      <c r="I175" s="2" t="s">
        <v>74</v>
      </c>
      <c r="J175" s="1" t="s">
        <v>149</v>
      </c>
      <c r="K175" s="1" t="n">
        <v>29</v>
      </c>
    </row>
    <row r="176" customFormat="false" ht="14.25" hidden="true" customHeight="false" outlineLevel="0" collapsed="false">
      <c r="A176" s="1" t="n">
        <v>8</v>
      </c>
      <c r="B176" s="1" t="s">
        <v>122</v>
      </c>
      <c r="C176" s="1" t="s">
        <v>220</v>
      </c>
      <c r="D176" s="23" t="s">
        <v>221</v>
      </c>
      <c r="E176" s="1" t="s">
        <v>222</v>
      </c>
      <c r="F176" s="2" t="s">
        <v>138</v>
      </c>
      <c r="G176" s="21" t="n">
        <f aca="false">K176/3.1416</f>
        <v>8.9126559714795</v>
      </c>
      <c r="H176" s="1" t="n">
        <v>10</v>
      </c>
      <c r="I176" s="2" t="s">
        <v>129</v>
      </c>
      <c r="J176" s="1" t="s">
        <v>149</v>
      </c>
      <c r="K176" s="1" t="n">
        <v>28</v>
      </c>
    </row>
    <row r="177" customFormat="false" ht="14.25" hidden="false" customHeight="false" outlineLevel="0" collapsed="false">
      <c r="A177" s="1" t="n">
        <v>10</v>
      </c>
      <c r="B177" s="1" t="s">
        <v>82</v>
      </c>
      <c r="C177" s="1" t="s">
        <v>220</v>
      </c>
      <c r="D177" s="23" t="s">
        <v>221</v>
      </c>
      <c r="E177" s="1" t="s">
        <v>222</v>
      </c>
      <c r="F177" s="2" t="s">
        <v>138</v>
      </c>
      <c r="G177" s="21" t="n">
        <f aca="false">K177/3.1416</f>
        <v>5.72956455309397</v>
      </c>
      <c r="H177" s="1" t="n">
        <v>6</v>
      </c>
      <c r="I177" s="1" t="s">
        <v>129</v>
      </c>
      <c r="J177" s="1" t="s">
        <v>149</v>
      </c>
      <c r="K177" s="1" t="n">
        <v>18</v>
      </c>
    </row>
    <row r="178" customFormat="false" ht="14.25" hidden="true" customHeight="false" outlineLevel="0" collapsed="false">
      <c r="A178" s="1" t="n">
        <v>11</v>
      </c>
      <c r="B178" s="1" t="s">
        <v>82</v>
      </c>
      <c r="C178" s="1" t="s">
        <v>220</v>
      </c>
      <c r="D178" s="23" t="s">
        <v>221</v>
      </c>
      <c r="E178" s="1" t="s">
        <v>222</v>
      </c>
      <c r="F178" s="2" t="s">
        <v>138</v>
      </c>
      <c r="G178" s="21" t="n">
        <f aca="false">K178/3.1416 + 17/3.1416</f>
        <v>13.6872930990578</v>
      </c>
      <c r="H178" s="1" t="n">
        <v>6</v>
      </c>
      <c r="I178" s="1" t="s">
        <v>129</v>
      </c>
      <c r="J178" s="1" t="s">
        <v>149</v>
      </c>
      <c r="K178" s="1" t="n">
        <v>26</v>
      </c>
    </row>
    <row r="179" customFormat="false" ht="14.25" hidden="true" customHeight="false" outlineLevel="0" collapsed="false">
      <c r="A179" s="1" t="n">
        <v>12</v>
      </c>
      <c r="B179" s="1" t="s">
        <v>128</v>
      </c>
      <c r="C179" s="1" t="s">
        <v>220</v>
      </c>
      <c r="D179" s="23" t="s">
        <v>221</v>
      </c>
      <c r="E179" s="1" t="s">
        <v>222</v>
      </c>
      <c r="F179" s="1" t="s">
        <v>138</v>
      </c>
      <c r="G179" s="21" t="n">
        <f aca="false">K179/3.1416</f>
        <v>3.18309141838554</v>
      </c>
      <c r="H179" s="1" t="n">
        <v>5</v>
      </c>
      <c r="I179" s="1" t="s">
        <v>129</v>
      </c>
      <c r="J179" s="1" t="s">
        <v>149</v>
      </c>
      <c r="K179" s="1" t="n">
        <v>10</v>
      </c>
    </row>
    <row r="180" customFormat="false" ht="14.25" hidden="true" customHeight="false" outlineLevel="0" collapsed="false">
      <c r="A180" s="1" t="n">
        <v>12</v>
      </c>
      <c r="B180" s="1" t="s">
        <v>128</v>
      </c>
      <c r="C180" s="1" t="s">
        <v>220</v>
      </c>
      <c r="D180" s="23" t="s">
        <v>221</v>
      </c>
      <c r="E180" s="1" t="s">
        <v>222</v>
      </c>
      <c r="F180" s="1" t="s">
        <v>138</v>
      </c>
      <c r="G180" s="21" t="n">
        <f aca="false">K180/3.1416</f>
        <v>4.1380188439012</v>
      </c>
      <c r="H180" s="1" t="n">
        <v>7</v>
      </c>
      <c r="I180" s="1" t="s">
        <v>127</v>
      </c>
      <c r="J180" s="1" t="s">
        <v>149</v>
      </c>
      <c r="K180" s="1" t="n">
        <v>13</v>
      </c>
    </row>
    <row r="181" customFormat="false" ht="14.25" hidden="true" customHeight="false" outlineLevel="0" collapsed="false">
      <c r="A181" s="1" t="n">
        <v>13</v>
      </c>
      <c r="B181" s="1" t="s">
        <v>128</v>
      </c>
      <c r="C181" s="1" t="s">
        <v>220</v>
      </c>
      <c r="D181" s="23" t="s">
        <v>221</v>
      </c>
      <c r="E181" s="1" t="s">
        <v>222</v>
      </c>
      <c r="F181" s="1" t="s">
        <v>138</v>
      </c>
      <c r="G181" s="21" t="n">
        <f aca="false">2*K181/3.1416</f>
        <v>17.1886936592819</v>
      </c>
      <c r="H181" s="1" t="n">
        <v>6</v>
      </c>
      <c r="I181" s="1" t="s">
        <v>127</v>
      </c>
      <c r="J181" s="1" t="s">
        <v>149</v>
      </c>
      <c r="K181" s="1" t="n">
        <v>27</v>
      </c>
    </row>
    <row r="182" customFormat="false" ht="14.25" hidden="true" customHeight="false" outlineLevel="0" collapsed="false">
      <c r="A182" s="1" t="n">
        <v>15</v>
      </c>
      <c r="B182" s="1" t="s">
        <v>131</v>
      </c>
      <c r="C182" s="1" t="s">
        <v>220</v>
      </c>
      <c r="D182" s="23" t="s">
        <v>221</v>
      </c>
      <c r="E182" s="1" t="s">
        <v>222</v>
      </c>
      <c r="F182" s="1" t="s">
        <v>138</v>
      </c>
      <c r="G182" s="21" t="n">
        <f aca="false">K182/3.1416</f>
        <v>6.36618283677107</v>
      </c>
      <c r="H182" s="1" t="n">
        <v>7</v>
      </c>
      <c r="I182" s="1" t="s">
        <v>129</v>
      </c>
      <c r="J182" s="1" t="s">
        <v>149</v>
      </c>
      <c r="K182" s="1" t="n">
        <v>20</v>
      </c>
    </row>
    <row r="183" customFormat="false" ht="14.25" hidden="true" customHeight="false" outlineLevel="0" collapsed="false">
      <c r="A183" s="1" t="n">
        <v>19</v>
      </c>
      <c r="B183" s="1" t="s">
        <v>128</v>
      </c>
      <c r="C183" s="1" t="s">
        <v>220</v>
      </c>
      <c r="D183" s="23" t="s">
        <v>221</v>
      </c>
      <c r="E183" s="1" t="s">
        <v>222</v>
      </c>
      <c r="F183" s="1" t="s">
        <v>138</v>
      </c>
      <c r="G183" s="21" t="n">
        <f aca="false">K183/3.1416</f>
        <v>5.09294626941686</v>
      </c>
      <c r="H183" s="1" t="n">
        <v>5</v>
      </c>
      <c r="I183" s="1" t="s">
        <v>127</v>
      </c>
      <c r="J183" s="1" t="s">
        <v>149</v>
      </c>
      <c r="K183" s="1" t="n">
        <v>16</v>
      </c>
    </row>
    <row r="184" customFormat="false" ht="14.25" hidden="true" customHeight="false" outlineLevel="0" collapsed="false">
      <c r="A184" s="1" t="n">
        <v>19</v>
      </c>
      <c r="B184" s="1" t="s">
        <v>128</v>
      </c>
      <c r="C184" s="1" t="s">
        <v>220</v>
      </c>
      <c r="D184" s="23" t="s">
        <v>221</v>
      </c>
      <c r="E184" s="1" t="s">
        <v>222</v>
      </c>
      <c r="F184" s="1" t="s">
        <v>138</v>
      </c>
      <c r="G184" s="21" t="n">
        <f aca="false">K184/3.1416</f>
        <v>3.81970970206264</v>
      </c>
      <c r="H184" s="1" t="n">
        <v>5</v>
      </c>
      <c r="I184" s="1" t="s">
        <v>129</v>
      </c>
      <c r="J184" s="1" t="s">
        <v>149</v>
      </c>
      <c r="K184" s="1" t="n">
        <v>12</v>
      </c>
    </row>
    <row r="185" customFormat="false" ht="14.25" hidden="true" customHeight="false" outlineLevel="0" collapsed="false">
      <c r="A185" s="1" t="n">
        <v>25</v>
      </c>
      <c r="B185" s="1" t="s">
        <v>135</v>
      </c>
      <c r="C185" s="1" t="s">
        <v>220</v>
      </c>
      <c r="D185" s="23" t="s">
        <v>221</v>
      </c>
      <c r="E185" s="1" t="s">
        <v>222</v>
      </c>
      <c r="F185" s="1" t="s">
        <v>138</v>
      </c>
      <c r="G185" s="21" t="n">
        <f aca="false">K185/3.1416</f>
        <v>2.86478227654698</v>
      </c>
      <c r="H185" s="1" t="n">
        <v>4</v>
      </c>
      <c r="I185" s="1" t="s">
        <v>129</v>
      </c>
      <c r="J185" s="1" t="s">
        <v>149</v>
      </c>
      <c r="K185" s="1" t="n">
        <v>9</v>
      </c>
    </row>
    <row r="186" customFormat="false" ht="14.25" hidden="true" customHeight="false" outlineLevel="0" collapsed="false">
      <c r="A186" s="1" t="n">
        <v>26</v>
      </c>
      <c r="B186" s="1" t="s">
        <v>135</v>
      </c>
      <c r="C186" s="1" t="s">
        <v>220</v>
      </c>
      <c r="D186" s="23" t="s">
        <v>221</v>
      </c>
      <c r="E186" s="1" t="s">
        <v>222</v>
      </c>
      <c r="F186" s="1" t="s">
        <v>138</v>
      </c>
      <c r="G186" s="21" t="n">
        <f aca="false">K186/3.1416</f>
        <v>4.7746371275783</v>
      </c>
      <c r="H186" s="1" t="n">
        <v>5</v>
      </c>
      <c r="I186" s="1" t="s">
        <v>129</v>
      </c>
      <c r="J186" s="1" t="s">
        <v>149</v>
      </c>
      <c r="K186" s="1" t="n">
        <v>15</v>
      </c>
    </row>
    <row r="187" customFormat="false" ht="14.25" hidden="true" customHeight="false" outlineLevel="0" collapsed="false">
      <c r="A187" s="1" t="n">
        <v>26</v>
      </c>
      <c r="B187" s="1" t="s">
        <v>135</v>
      </c>
      <c r="C187" s="1" t="s">
        <v>220</v>
      </c>
      <c r="D187" s="23" t="s">
        <v>221</v>
      </c>
      <c r="E187" s="1" t="s">
        <v>222</v>
      </c>
      <c r="F187" s="1" t="s">
        <v>138</v>
      </c>
      <c r="G187" s="21" t="n">
        <f aca="false">K187/3.1416</f>
        <v>2.54647313470843</v>
      </c>
      <c r="H187" s="1" t="n">
        <v>3</v>
      </c>
      <c r="I187" s="1" t="s">
        <v>129</v>
      </c>
      <c r="J187" s="1" t="s">
        <v>149</v>
      </c>
      <c r="K187" s="1" t="n">
        <v>8</v>
      </c>
    </row>
    <row r="188" customFormat="false" ht="14.25" hidden="true" customHeight="false" outlineLevel="0" collapsed="false">
      <c r="A188" s="1" t="n">
        <v>30</v>
      </c>
      <c r="B188" s="1" t="s">
        <v>131</v>
      </c>
      <c r="C188" s="1" t="s">
        <v>220</v>
      </c>
      <c r="D188" s="23" t="s">
        <v>221</v>
      </c>
      <c r="E188" s="1" t="s">
        <v>222</v>
      </c>
      <c r="F188" s="1" t="s">
        <v>138</v>
      </c>
      <c r="G188" s="21" t="n">
        <f aca="false">K188/3.1416</f>
        <v>2.54647313470843</v>
      </c>
      <c r="H188" s="1" t="n">
        <v>6</v>
      </c>
      <c r="I188" s="1" t="s">
        <v>129</v>
      </c>
      <c r="J188" s="1" t="s">
        <v>149</v>
      </c>
      <c r="K188" s="1" t="n">
        <v>8</v>
      </c>
    </row>
    <row r="189" customFormat="false" ht="14.25" hidden="true" customHeight="false" outlineLevel="0" collapsed="false">
      <c r="A189" s="1" t="n">
        <v>30</v>
      </c>
      <c r="B189" s="1" t="s">
        <v>131</v>
      </c>
      <c r="C189" s="1" t="s">
        <v>220</v>
      </c>
      <c r="D189" s="23" t="s">
        <v>221</v>
      </c>
      <c r="E189" s="1" t="s">
        <v>222</v>
      </c>
      <c r="F189" s="1" t="s">
        <v>138</v>
      </c>
      <c r="G189" s="21" t="n">
        <f aca="false">K189/3.1416</f>
        <v>7.95772854596384</v>
      </c>
      <c r="H189" s="1" t="n">
        <v>7</v>
      </c>
      <c r="I189" s="1" t="s">
        <v>129</v>
      </c>
      <c r="J189" s="1" t="s">
        <v>149</v>
      </c>
      <c r="K189" s="1" t="n">
        <v>25</v>
      </c>
    </row>
    <row r="190" customFormat="false" ht="14.25" hidden="true" customHeight="false" outlineLevel="0" collapsed="false">
      <c r="A190" s="1" t="n">
        <v>30</v>
      </c>
      <c r="B190" s="1" t="s">
        <v>131</v>
      </c>
      <c r="C190" s="1" t="s">
        <v>220</v>
      </c>
      <c r="D190" s="23" t="s">
        <v>221</v>
      </c>
      <c r="E190" s="1" t="s">
        <v>222</v>
      </c>
      <c r="F190" s="1" t="s">
        <v>138</v>
      </c>
      <c r="G190" s="21" t="n">
        <f aca="false">K190/3.1416</f>
        <v>6.68449197860963</v>
      </c>
      <c r="H190" s="1" t="n">
        <v>8</v>
      </c>
      <c r="I190" s="1" t="s">
        <v>129</v>
      </c>
      <c r="J190" s="1" t="s">
        <v>149</v>
      </c>
      <c r="K190" s="1" t="n">
        <v>21</v>
      </c>
    </row>
    <row r="191" customFormat="false" ht="14.25" hidden="true" customHeight="false" outlineLevel="0" collapsed="false">
      <c r="A191" s="1" t="n">
        <v>30</v>
      </c>
      <c r="B191" s="1" t="s">
        <v>131</v>
      </c>
      <c r="C191" s="1" t="s">
        <v>220</v>
      </c>
      <c r="D191" s="23" t="s">
        <v>221</v>
      </c>
      <c r="E191" s="1" t="s">
        <v>222</v>
      </c>
      <c r="F191" s="1" t="s">
        <v>138</v>
      </c>
      <c r="G191" s="21" t="n">
        <f aca="false">K191/3.1416</f>
        <v>3.81970970206264</v>
      </c>
      <c r="H191" s="1" t="n">
        <v>7</v>
      </c>
      <c r="I191" s="1" t="s">
        <v>129</v>
      </c>
      <c r="J191" s="1" t="s">
        <v>149</v>
      </c>
      <c r="K191" s="1" t="n">
        <v>12</v>
      </c>
    </row>
    <row r="192" customFormat="false" ht="14.25" hidden="true" customHeight="false" outlineLevel="0" collapsed="false">
      <c r="A192" s="1" t="n">
        <v>31</v>
      </c>
      <c r="B192" s="1" t="s">
        <v>131</v>
      </c>
      <c r="C192" s="1" t="s">
        <v>220</v>
      </c>
      <c r="D192" s="23" t="s">
        <v>221</v>
      </c>
      <c r="E192" s="1" t="s">
        <v>222</v>
      </c>
      <c r="F192" s="1" t="s">
        <v>138</v>
      </c>
      <c r="G192" s="21" t="n">
        <f aca="false">K192/3.1416</f>
        <v>4.1380188439012</v>
      </c>
      <c r="H192" s="1" t="n">
        <v>7</v>
      </c>
      <c r="I192" s="1" t="s">
        <v>129</v>
      </c>
      <c r="J192" s="1" t="s">
        <v>149</v>
      </c>
      <c r="K192" s="1" t="n">
        <v>13</v>
      </c>
    </row>
    <row r="193" customFormat="false" ht="14.25" hidden="true" customHeight="false" outlineLevel="0" collapsed="false">
      <c r="A193" s="1" t="n">
        <v>1</v>
      </c>
      <c r="B193" s="1" t="s">
        <v>72</v>
      </c>
      <c r="C193" s="1" t="s">
        <v>223</v>
      </c>
      <c r="D193" s="23"/>
      <c r="G193" s="21" t="n">
        <f aca="false">ROUND(K193/PI(),0)</f>
        <v>14</v>
      </c>
      <c r="H193" s="1" t="n">
        <v>12</v>
      </c>
      <c r="I193" s="1" t="s">
        <v>129</v>
      </c>
      <c r="J193" s="1" t="s">
        <v>224</v>
      </c>
      <c r="K193" s="1" t="n">
        <v>45</v>
      </c>
    </row>
    <row r="194" customFormat="false" ht="14.25" hidden="true" customHeight="false" outlineLevel="0" collapsed="false">
      <c r="A194" s="1" t="n">
        <v>7</v>
      </c>
      <c r="B194" s="1" t="s">
        <v>101</v>
      </c>
      <c r="C194" s="1" t="s">
        <v>223</v>
      </c>
      <c r="D194" s="23"/>
      <c r="G194" s="21" t="n">
        <f aca="false">ROUND(K194/PI(),0)</f>
        <v>9</v>
      </c>
      <c r="H194" s="1" t="n">
        <v>10</v>
      </c>
      <c r="I194" s="1" t="s">
        <v>129</v>
      </c>
      <c r="J194" s="1" t="s">
        <v>141</v>
      </c>
      <c r="K194" s="1" t="n">
        <v>29</v>
      </c>
    </row>
    <row r="195" customFormat="false" ht="14.25" hidden="true" customHeight="false" outlineLevel="0" collapsed="false">
      <c r="A195" s="1" t="n">
        <v>8</v>
      </c>
      <c r="B195" s="1" t="s">
        <v>101</v>
      </c>
      <c r="C195" s="1" t="s">
        <v>223</v>
      </c>
      <c r="D195" s="23" t="s">
        <v>225</v>
      </c>
      <c r="E195" s="1" t="s">
        <v>186</v>
      </c>
      <c r="F195" s="1" t="s">
        <v>138</v>
      </c>
      <c r="G195" s="21" t="n">
        <f aca="false">ROUND(K195/PI(),0)</f>
        <v>3</v>
      </c>
      <c r="H195" s="1" t="n">
        <v>4</v>
      </c>
      <c r="I195" s="1" t="s">
        <v>129</v>
      </c>
      <c r="J195" s="1" t="s">
        <v>141</v>
      </c>
      <c r="K195" s="1" t="n">
        <v>8.5</v>
      </c>
    </row>
    <row r="196" customFormat="false" ht="14.25" hidden="true" customHeight="false" outlineLevel="0" collapsed="false">
      <c r="A196" s="1" t="n">
        <v>1</v>
      </c>
      <c r="B196" s="1" t="s">
        <v>72</v>
      </c>
      <c r="C196" s="1" t="s">
        <v>226</v>
      </c>
      <c r="D196" s="23"/>
      <c r="G196" s="21" t="n">
        <f aca="false">ROUND(K196/PI(),0)</f>
        <v>5</v>
      </c>
      <c r="H196" s="1" t="n">
        <v>7</v>
      </c>
      <c r="I196" s="1" t="s">
        <v>129</v>
      </c>
      <c r="J196" s="1" t="s">
        <v>227</v>
      </c>
      <c r="K196" s="1" t="n">
        <v>15</v>
      </c>
    </row>
    <row r="197" customFormat="false" ht="14.25" hidden="true" customHeight="false" outlineLevel="0" collapsed="false">
      <c r="A197" s="1" t="n">
        <v>1</v>
      </c>
      <c r="B197" s="1" t="s">
        <v>72</v>
      </c>
      <c r="C197" s="1" t="s">
        <v>226</v>
      </c>
      <c r="D197" s="23"/>
      <c r="G197" s="21" t="n">
        <f aca="false">ROUND(K197/PI(),0)</f>
        <v>4</v>
      </c>
      <c r="H197" s="1" t="n">
        <v>7</v>
      </c>
      <c r="I197" s="1" t="s">
        <v>127</v>
      </c>
      <c r="J197" s="1" t="s">
        <v>227</v>
      </c>
      <c r="K197" s="1" t="n">
        <v>13</v>
      </c>
    </row>
    <row r="198" customFormat="false" ht="14.25" hidden="true" customHeight="false" outlineLevel="0" collapsed="false">
      <c r="A198" s="1" t="n">
        <v>1</v>
      </c>
      <c r="B198" s="1" t="s">
        <v>72</v>
      </c>
      <c r="C198" s="1" t="s">
        <v>228</v>
      </c>
      <c r="D198" s="23"/>
      <c r="E198" s="1" t="s">
        <v>229</v>
      </c>
      <c r="F198" s="1" t="s">
        <v>120</v>
      </c>
      <c r="G198" s="21" t="n">
        <f aca="false">ROUND(K198/PI(),0)</f>
        <v>3</v>
      </c>
      <c r="H198" s="1" t="n">
        <v>1.5</v>
      </c>
      <c r="I198" s="1" t="s">
        <v>134</v>
      </c>
      <c r="J198" s="1" t="s">
        <v>230</v>
      </c>
      <c r="K198" s="1" t="n">
        <v>9</v>
      </c>
    </row>
    <row r="199" customFormat="false" ht="14.25" hidden="true" customHeight="false" outlineLevel="0" collapsed="false">
      <c r="A199" s="1" t="n">
        <v>6</v>
      </c>
      <c r="B199" s="1" t="s">
        <v>92</v>
      </c>
      <c r="C199" s="1" t="s">
        <v>228</v>
      </c>
      <c r="D199" s="23" t="s">
        <v>164</v>
      </c>
      <c r="E199" s="1" t="s">
        <v>165</v>
      </c>
      <c r="F199" s="1" t="s">
        <v>120</v>
      </c>
      <c r="G199" s="21" t="n">
        <f aca="false">ROUND(K199/PI(),0)</f>
        <v>8</v>
      </c>
      <c r="H199" s="1" t="n">
        <v>7</v>
      </c>
      <c r="I199" s="1" t="s">
        <v>129</v>
      </c>
      <c r="J199" s="1" t="s">
        <v>141</v>
      </c>
      <c r="K199" s="1" t="n">
        <v>26</v>
      </c>
    </row>
    <row r="200" customFormat="false" ht="14.25" hidden="true" customHeight="false" outlineLevel="0" collapsed="false">
      <c r="A200" s="1" t="n">
        <v>6</v>
      </c>
      <c r="B200" s="1" t="s">
        <v>92</v>
      </c>
      <c r="C200" s="1" t="s">
        <v>228</v>
      </c>
      <c r="D200" s="23"/>
      <c r="G200" s="21" t="n">
        <f aca="false">ROUND(K200/PI(),0)</f>
        <v>4</v>
      </c>
      <c r="H200" s="1" t="n">
        <v>6</v>
      </c>
      <c r="I200" s="1" t="s">
        <v>127</v>
      </c>
      <c r="J200" s="1" t="s">
        <v>141</v>
      </c>
      <c r="K200" s="1" t="n">
        <v>14</v>
      </c>
    </row>
    <row r="201" customFormat="false" ht="14.25" hidden="true" customHeight="false" outlineLevel="0" collapsed="false">
      <c r="A201" s="1" t="n">
        <v>10</v>
      </c>
      <c r="B201" s="1" t="s">
        <v>82</v>
      </c>
      <c r="C201" s="1" t="s">
        <v>231</v>
      </c>
      <c r="D201" s="23" t="s">
        <v>232</v>
      </c>
      <c r="E201" s="1" t="s">
        <v>233</v>
      </c>
      <c r="F201" s="2" t="s">
        <v>138</v>
      </c>
      <c r="G201" s="21" t="n">
        <f aca="false">K201/3.1416</f>
        <v>3.18309141838554</v>
      </c>
      <c r="H201" s="1" t="n">
        <v>2.5</v>
      </c>
      <c r="I201" s="2" t="s">
        <v>234</v>
      </c>
      <c r="J201" s="1" t="s">
        <v>149</v>
      </c>
      <c r="K201" s="1" t="n">
        <v>10</v>
      </c>
    </row>
    <row r="202" customFormat="false" ht="14.25" hidden="false" customHeight="false" outlineLevel="0" collapsed="false">
      <c r="A202" s="1" t="n">
        <v>10</v>
      </c>
      <c r="B202" s="1" t="s">
        <v>82</v>
      </c>
      <c r="C202" s="1" t="s">
        <v>231</v>
      </c>
      <c r="D202" s="23" t="s">
        <v>192</v>
      </c>
      <c r="E202" s="1" t="s">
        <v>193</v>
      </c>
      <c r="F202" s="2" t="s">
        <v>120</v>
      </c>
      <c r="G202" s="21" t="n">
        <f aca="false">K202/3.1416</f>
        <v>6.68449197860963</v>
      </c>
      <c r="H202" s="1" t="n">
        <v>7</v>
      </c>
      <c r="I202" s="1" t="s">
        <v>129</v>
      </c>
      <c r="J202" s="1" t="s">
        <v>149</v>
      </c>
      <c r="K202" s="1" t="n">
        <v>21</v>
      </c>
    </row>
    <row r="203" customFormat="false" ht="14.25" hidden="true" customHeight="false" outlineLevel="0" collapsed="false">
      <c r="A203" s="1" t="n">
        <v>11</v>
      </c>
      <c r="B203" s="1" t="s">
        <v>82</v>
      </c>
      <c r="C203" s="1" t="s">
        <v>231</v>
      </c>
      <c r="D203" s="23" t="s">
        <v>232</v>
      </c>
      <c r="E203" s="1" t="s">
        <v>233</v>
      </c>
      <c r="F203" s="1" t="s">
        <v>138</v>
      </c>
      <c r="G203" s="21" t="n">
        <f aca="false">K203/3.1416</f>
        <v>3.81970970206264</v>
      </c>
      <c r="H203" s="1" t="n">
        <v>5</v>
      </c>
      <c r="I203" s="1" t="s">
        <v>129</v>
      </c>
      <c r="J203" s="1" t="s">
        <v>149</v>
      </c>
      <c r="K203" s="1" t="n">
        <v>12</v>
      </c>
    </row>
    <row r="204" customFormat="false" ht="14.25" hidden="true" customHeight="false" outlineLevel="0" collapsed="false">
      <c r="A204" s="1" t="n">
        <v>11</v>
      </c>
      <c r="B204" s="1" t="s">
        <v>82</v>
      </c>
      <c r="C204" s="1" t="s">
        <v>231</v>
      </c>
      <c r="D204" s="23" t="s">
        <v>232</v>
      </c>
      <c r="E204" s="1" t="s">
        <v>233</v>
      </c>
      <c r="F204" s="1" t="s">
        <v>138</v>
      </c>
      <c r="G204" s="21" t="n">
        <f aca="false">K204/3.1416</f>
        <v>4.7746371275783</v>
      </c>
      <c r="H204" s="1" t="n">
        <v>7</v>
      </c>
      <c r="I204" s="1" t="s">
        <v>129</v>
      </c>
      <c r="J204" s="1" t="s">
        <v>149</v>
      </c>
      <c r="K204" s="1" t="n">
        <v>15</v>
      </c>
    </row>
    <row r="205" customFormat="false" ht="15.65" hidden="true" customHeight="false" outlineLevel="0" collapsed="false">
      <c r="A205" s="1" t="n">
        <v>12</v>
      </c>
      <c r="B205" s="1" t="s">
        <v>128</v>
      </c>
      <c r="C205" s="1" t="s">
        <v>231</v>
      </c>
      <c r="D205" s="25" t="s">
        <v>232</v>
      </c>
      <c r="E205" s="26" t="s">
        <v>233</v>
      </c>
      <c r="G205" s="21" t="n">
        <f aca="false">K205/3.1416</f>
        <v>2.54647313470843</v>
      </c>
      <c r="H205" s="1" t="n">
        <v>2.5</v>
      </c>
      <c r="I205" s="1" t="s">
        <v>134</v>
      </c>
      <c r="J205" s="1" t="s">
        <v>149</v>
      </c>
      <c r="K205" s="1" t="n">
        <v>8</v>
      </c>
    </row>
    <row r="206" customFormat="false" ht="14.25" hidden="true" customHeight="false" outlineLevel="0" collapsed="false">
      <c r="A206" s="1" t="n">
        <v>14</v>
      </c>
      <c r="B206" s="1" t="s">
        <v>131</v>
      </c>
      <c r="C206" s="1" t="s">
        <v>231</v>
      </c>
      <c r="D206" s="23"/>
      <c r="E206" s="1" t="s">
        <v>210</v>
      </c>
      <c r="F206" s="1" t="s">
        <v>120</v>
      </c>
      <c r="G206" s="21" t="n">
        <f aca="false">K206/3.1416</f>
        <v>2.54647313470843</v>
      </c>
      <c r="H206" s="1" t="n">
        <v>2</v>
      </c>
      <c r="I206" s="1" t="s">
        <v>129</v>
      </c>
      <c r="J206" s="1" t="s">
        <v>149</v>
      </c>
      <c r="K206" s="1" t="n">
        <v>8</v>
      </c>
    </row>
    <row r="207" customFormat="false" ht="14.25" hidden="true" customHeight="false" outlineLevel="0" collapsed="false">
      <c r="A207" s="1" t="n">
        <v>17</v>
      </c>
      <c r="B207" s="1" t="s">
        <v>128</v>
      </c>
      <c r="C207" s="1" t="s">
        <v>231</v>
      </c>
      <c r="D207" s="23" t="s">
        <v>232</v>
      </c>
      <c r="E207" s="1" t="s">
        <v>233</v>
      </c>
      <c r="F207" s="1" t="s">
        <v>138</v>
      </c>
      <c r="G207" s="21" t="n">
        <f aca="false">K207/3.1416</f>
        <v>3.81970970206264</v>
      </c>
      <c r="H207" s="1" t="n">
        <v>5</v>
      </c>
      <c r="I207" s="1" t="s">
        <v>129</v>
      </c>
      <c r="J207" s="1" t="s">
        <v>149</v>
      </c>
      <c r="K207" s="1" t="n">
        <v>12</v>
      </c>
    </row>
    <row r="208" customFormat="false" ht="14.25" hidden="true" customHeight="false" outlineLevel="0" collapsed="false">
      <c r="A208" s="1" t="n">
        <v>21</v>
      </c>
      <c r="B208" s="1" t="s">
        <v>135</v>
      </c>
      <c r="C208" s="1" t="s">
        <v>231</v>
      </c>
      <c r="D208" s="23" t="s">
        <v>232</v>
      </c>
      <c r="E208" s="1" t="s">
        <v>233</v>
      </c>
      <c r="F208" s="1" t="s">
        <v>138</v>
      </c>
      <c r="G208" s="21" t="n">
        <f aca="false">K208/3.1416</f>
        <v>2.54647313470843</v>
      </c>
      <c r="H208" s="1" t="n">
        <v>4</v>
      </c>
      <c r="I208" s="1" t="s">
        <v>129</v>
      </c>
      <c r="J208" s="1" t="s">
        <v>149</v>
      </c>
      <c r="K208" s="1" t="n">
        <v>8</v>
      </c>
    </row>
    <row r="209" customFormat="false" ht="14.25" hidden="true" customHeight="false" outlineLevel="0" collapsed="false">
      <c r="A209" s="1" t="n">
        <v>24</v>
      </c>
      <c r="B209" s="1" t="s">
        <v>135</v>
      </c>
      <c r="C209" s="1" t="s">
        <v>231</v>
      </c>
      <c r="D209" s="23" t="s">
        <v>232</v>
      </c>
      <c r="E209" s="1" t="s">
        <v>233</v>
      </c>
      <c r="F209" s="1" t="s">
        <v>138</v>
      </c>
      <c r="G209" s="21" t="n">
        <f aca="false">K209/3.1416</f>
        <v>6.04787369493252</v>
      </c>
      <c r="H209" s="1" t="n">
        <v>7</v>
      </c>
      <c r="I209" s="1" t="s">
        <v>127</v>
      </c>
      <c r="J209" s="1" t="s">
        <v>149</v>
      </c>
      <c r="K209" s="1" t="n">
        <v>19</v>
      </c>
    </row>
    <row r="210" customFormat="false" ht="14.25" hidden="true" customHeight="false" outlineLevel="0" collapsed="false">
      <c r="A210" s="1" t="n">
        <v>25</v>
      </c>
      <c r="B210" s="1" t="s">
        <v>135</v>
      </c>
      <c r="C210" s="1" t="s">
        <v>231</v>
      </c>
      <c r="D210" s="23" t="s">
        <v>232</v>
      </c>
      <c r="E210" s="1" t="s">
        <v>233</v>
      </c>
      <c r="F210" s="1" t="s">
        <v>138</v>
      </c>
      <c r="G210" s="21" t="n">
        <f aca="false">K210/3.1416</f>
        <v>4.45632798573975</v>
      </c>
      <c r="H210" s="1" t="n">
        <v>6</v>
      </c>
      <c r="I210" s="1" t="s">
        <v>129</v>
      </c>
      <c r="J210" s="1" t="s">
        <v>149</v>
      </c>
      <c r="K210" s="1" t="n">
        <v>14</v>
      </c>
    </row>
    <row r="211" customFormat="false" ht="14.25" hidden="true" customHeight="false" outlineLevel="0" collapsed="false">
      <c r="A211" s="1" t="n">
        <v>26</v>
      </c>
      <c r="B211" s="1" t="s">
        <v>135</v>
      </c>
      <c r="C211" s="1" t="s">
        <v>231</v>
      </c>
      <c r="D211" s="23" t="s">
        <v>235</v>
      </c>
      <c r="E211" s="1" t="s">
        <v>156</v>
      </c>
      <c r="F211" s="1" t="s">
        <v>138</v>
      </c>
      <c r="G211" s="21" t="n">
        <f aca="false">K211/3.1416</f>
        <v>2.54647313470843</v>
      </c>
      <c r="H211" s="1" t="n">
        <v>4</v>
      </c>
      <c r="I211" s="1" t="s">
        <v>129</v>
      </c>
      <c r="J211" s="1" t="s">
        <v>149</v>
      </c>
      <c r="K211" s="1" t="n">
        <v>8</v>
      </c>
    </row>
    <row r="212" customFormat="false" ht="14.25" hidden="true" customHeight="false" outlineLevel="0" collapsed="false">
      <c r="A212" s="1" t="n">
        <v>27</v>
      </c>
      <c r="B212" s="1" t="s">
        <v>82</v>
      </c>
      <c r="C212" s="1" t="s">
        <v>231</v>
      </c>
      <c r="D212" s="23" t="s">
        <v>232</v>
      </c>
      <c r="E212" s="1" t="s">
        <v>233</v>
      </c>
      <c r="F212" s="1" t="s">
        <v>138</v>
      </c>
      <c r="G212" s="21" t="n">
        <f aca="false">K212/3.1416</f>
        <v>2.54647313470843</v>
      </c>
      <c r="H212" s="1" t="n">
        <v>4</v>
      </c>
      <c r="I212" s="1" t="s">
        <v>127</v>
      </c>
      <c r="J212" s="1" t="s">
        <v>149</v>
      </c>
      <c r="K212" s="1" t="n">
        <v>8</v>
      </c>
    </row>
    <row r="213" customFormat="false" ht="14.25" hidden="true" customHeight="false" outlineLevel="0" collapsed="false">
      <c r="A213" s="1" t="n">
        <v>27</v>
      </c>
      <c r="B213" s="1" t="s">
        <v>82</v>
      </c>
      <c r="C213" s="1" t="s">
        <v>231</v>
      </c>
      <c r="D213" s="23" t="s">
        <v>232</v>
      </c>
      <c r="E213" s="1" t="s">
        <v>233</v>
      </c>
      <c r="F213" s="1" t="s">
        <v>138</v>
      </c>
      <c r="G213" s="21" t="n">
        <f aca="false">K213/3.1416</f>
        <v>5.09294626941686</v>
      </c>
      <c r="H213" s="1" t="n">
        <v>8</v>
      </c>
      <c r="I213" s="1" t="s">
        <v>127</v>
      </c>
      <c r="J213" s="1" t="s">
        <v>149</v>
      </c>
      <c r="K213" s="1" t="n">
        <v>16</v>
      </c>
    </row>
    <row r="214" customFormat="false" ht="14.25" hidden="true" customHeight="false" outlineLevel="0" collapsed="false">
      <c r="A214" s="1" t="n">
        <v>28</v>
      </c>
      <c r="B214" s="1" t="s">
        <v>82</v>
      </c>
      <c r="C214" s="1" t="s">
        <v>231</v>
      </c>
      <c r="D214" s="23" t="s">
        <v>232</v>
      </c>
      <c r="E214" s="1" t="s">
        <v>233</v>
      </c>
      <c r="F214" s="1" t="s">
        <v>138</v>
      </c>
      <c r="G214" s="21" t="n">
        <f aca="false">K214/3.1416</f>
        <v>3.50140056022409</v>
      </c>
      <c r="H214" s="1" t="n">
        <v>8</v>
      </c>
      <c r="I214" s="1" t="s">
        <v>129</v>
      </c>
      <c r="J214" s="1" t="s">
        <v>149</v>
      </c>
      <c r="K214" s="1" t="n">
        <v>11</v>
      </c>
    </row>
    <row r="215" customFormat="false" ht="14.25" hidden="true" customHeight="false" outlineLevel="0" collapsed="false">
      <c r="A215" s="1" t="n">
        <v>31</v>
      </c>
      <c r="B215" s="1" t="s">
        <v>131</v>
      </c>
      <c r="C215" s="1" t="s">
        <v>231</v>
      </c>
      <c r="D215" s="23" t="s">
        <v>232</v>
      </c>
      <c r="E215" s="1" t="s">
        <v>233</v>
      </c>
      <c r="F215" s="1" t="s">
        <v>138</v>
      </c>
      <c r="G215" s="21" t="n">
        <f aca="false">K215/3.1416</f>
        <v>6.04787369493252</v>
      </c>
      <c r="H215" s="1" t="n">
        <v>8</v>
      </c>
      <c r="I215" s="1" t="s">
        <v>129</v>
      </c>
      <c r="J215" s="1" t="s">
        <v>149</v>
      </c>
      <c r="K215" s="1" t="n">
        <v>19</v>
      </c>
    </row>
    <row r="216" customFormat="false" ht="14.25" hidden="true" customHeight="false" outlineLevel="0" collapsed="false">
      <c r="A216" s="1" t="n">
        <v>31</v>
      </c>
      <c r="B216" s="1" t="s">
        <v>131</v>
      </c>
      <c r="C216" s="1" t="s">
        <v>231</v>
      </c>
      <c r="D216" s="23" t="s">
        <v>232</v>
      </c>
      <c r="E216" s="1" t="s">
        <v>233</v>
      </c>
      <c r="F216" s="1" t="s">
        <v>138</v>
      </c>
      <c r="G216" s="21" t="n">
        <f aca="false">K216/3.1416</f>
        <v>2.86478227654698</v>
      </c>
      <c r="H216" s="1" t="n">
        <v>6</v>
      </c>
      <c r="I216" s="1" t="s">
        <v>129</v>
      </c>
      <c r="J216" s="1" t="s">
        <v>149</v>
      </c>
      <c r="K216" s="1" t="n">
        <v>9</v>
      </c>
    </row>
    <row r="217" customFormat="false" ht="14.25" hidden="true" customHeight="false" outlineLevel="0" collapsed="false">
      <c r="A217" s="1" t="n">
        <v>31</v>
      </c>
      <c r="B217" s="1" t="s">
        <v>131</v>
      </c>
      <c r="C217" s="1" t="s">
        <v>231</v>
      </c>
      <c r="D217" s="23" t="s">
        <v>232</v>
      </c>
      <c r="E217" s="1" t="s">
        <v>233</v>
      </c>
      <c r="F217" s="1" t="s">
        <v>138</v>
      </c>
      <c r="G217" s="21" t="n">
        <f aca="false">K217/3.1416</f>
        <v>6.36618283677107</v>
      </c>
      <c r="H217" s="1" t="n">
        <v>10</v>
      </c>
      <c r="I217" s="1" t="s">
        <v>129</v>
      </c>
      <c r="J217" s="1" t="s">
        <v>149</v>
      </c>
      <c r="K217" s="1" t="n">
        <v>20</v>
      </c>
    </row>
    <row r="218" customFormat="false" ht="14.25" hidden="true" customHeight="false" outlineLevel="0" collapsed="false">
      <c r="A218" s="1" t="n">
        <v>31</v>
      </c>
      <c r="B218" s="1" t="s">
        <v>131</v>
      </c>
      <c r="C218" s="1" t="s">
        <v>231</v>
      </c>
      <c r="D218" s="23" t="s">
        <v>232</v>
      </c>
      <c r="E218" s="1" t="s">
        <v>233</v>
      </c>
      <c r="F218" s="1" t="s">
        <v>138</v>
      </c>
      <c r="G218" s="21" t="n">
        <f aca="false">K218/3.1416</f>
        <v>2.54647313470843</v>
      </c>
      <c r="H218" s="1" t="n">
        <v>3</v>
      </c>
      <c r="I218" s="1" t="s">
        <v>127</v>
      </c>
      <c r="J218" s="1" t="s">
        <v>149</v>
      </c>
      <c r="K218" s="1" t="n">
        <v>8</v>
      </c>
    </row>
    <row r="219" customFormat="false" ht="14.25" hidden="true" customHeight="false" outlineLevel="0" collapsed="false">
      <c r="A219" s="1" t="n">
        <v>2</v>
      </c>
      <c r="B219" s="1" t="s">
        <v>72</v>
      </c>
      <c r="C219" s="1" t="s">
        <v>231</v>
      </c>
      <c r="D219" s="23"/>
      <c r="G219" s="21" t="n">
        <f aca="false">ROUND(K219/PI(),0)</f>
        <v>7</v>
      </c>
      <c r="H219" s="1" t="n">
        <v>10</v>
      </c>
      <c r="I219" s="1" t="s">
        <v>129</v>
      </c>
      <c r="J219" s="1" t="s">
        <v>162</v>
      </c>
      <c r="K219" s="1" t="n">
        <v>22</v>
      </c>
    </row>
    <row r="220" customFormat="false" ht="14.25" hidden="true" customHeight="false" outlineLevel="0" collapsed="false">
      <c r="A220" s="1" t="n">
        <v>3</v>
      </c>
      <c r="B220" s="1" t="s">
        <v>82</v>
      </c>
      <c r="C220" s="1" t="s">
        <v>231</v>
      </c>
      <c r="D220" s="23" t="s">
        <v>232</v>
      </c>
      <c r="E220" s="1" t="s">
        <v>233</v>
      </c>
      <c r="F220" s="1" t="s">
        <v>138</v>
      </c>
      <c r="G220" s="21" t="n">
        <f aca="false">ROUND(K220/PI(),0)</f>
        <v>3</v>
      </c>
      <c r="H220" s="1" t="n">
        <v>5</v>
      </c>
      <c r="I220" s="1" t="s">
        <v>129</v>
      </c>
      <c r="J220" s="1" t="s">
        <v>162</v>
      </c>
      <c r="K220" s="1" t="n">
        <v>9</v>
      </c>
    </row>
    <row r="221" customFormat="false" ht="14.25" hidden="true" customHeight="false" outlineLevel="0" collapsed="false">
      <c r="A221" s="1" t="n">
        <v>3</v>
      </c>
      <c r="B221" s="1" t="s">
        <v>82</v>
      </c>
      <c r="C221" s="1" t="s">
        <v>231</v>
      </c>
      <c r="D221" s="23" t="s">
        <v>232</v>
      </c>
      <c r="E221" s="1" t="s">
        <v>233</v>
      </c>
      <c r="F221" s="1" t="s">
        <v>138</v>
      </c>
      <c r="G221" s="21" t="n">
        <f aca="false">ROUND(K221/PI(),0)</f>
        <v>4</v>
      </c>
      <c r="H221" s="1" t="n">
        <v>7</v>
      </c>
      <c r="I221" s="1" t="s">
        <v>127</v>
      </c>
      <c r="J221" s="1" t="s">
        <v>162</v>
      </c>
      <c r="K221" s="1" t="n">
        <v>14</v>
      </c>
    </row>
    <row r="222" customFormat="false" ht="14.25" hidden="true" customHeight="false" outlineLevel="0" collapsed="false">
      <c r="A222" s="1" t="n">
        <v>6</v>
      </c>
      <c r="B222" s="1" t="s">
        <v>92</v>
      </c>
      <c r="C222" s="1" t="s">
        <v>231</v>
      </c>
      <c r="D222" s="23" t="s">
        <v>232</v>
      </c>
      <c r="E222" s="1" t="s">
        <v>233</v>
      </c>
      <c r="F222" s="1" t="s">
        <v>138</v>
      </c>
      <c r="G222" s="21" t="n">
        <f aca="false">ROUND(K222/PI(),0)</f>
        <v>5</v>
      </c>
      <c r="H222" s="1" t="n">
        <v>7</v>
      </c>
      <c r="I222" s="1" t="s">
        <v>127</v>
      </c>
      <c r="J222" s="1" t="s">
        <v>149</v>
      </c>
      <c r="K222" s="1" t="n">
        <v>16</v>
      </c>
    </row>
    <row r="223" customFormat="false" ht="14.25" hidden="true" customHeight="false" outlineLevel="0" collapsed="false">
      <c r="A223" s="1" t="n">
        <v>7</v>
      </c>
      <c r="B223" s="1" t="s">
        <v>101</v>
      </c>
      <c r="C223" s="1" t="s">
        <v>231</v>
      </c>
      <c r="D223" s="23" t="s">
        <v>232</v>
      </c>
      <c r="E223" s="1" t="s">
        <v>233</v>
      </c>
      <c r="F223" s="1" t="s">
        <v>138</v>
      </c>
      <c r="G223" s="21" t="n">
        <f aca="false">ROUND(K223/PI(),0)</f>
        <v>6</v>
      </c>
      <c r="H223" s="1" t="n">
        <v>7</v>
      </c>
      <c r="I223" s="1" t="s">
        <v>127</v>
      </c>
      <c r="J223" s="1" t="s">
        <v>149</v>
      </c>
      <c r="K223" s="1" t="n">
        <v>20</v>
      </c>
    </row>
    <row r="224" customFormat="false" ht="14.25" hidden="true" customHeight="false" outlineLevel="0" collapsed="false">
      <c r="A224" s="1" t="n">
        <v>2</v>
      </c>
      <c r="B224" s="1" t="s">
        <v>82</v>
      </c>
      <c r="C224" s="1" t="s">
        <v>236</v>
      </c>
      <c r="D224" s="23"/>
      <c r="G224" s="21" t="n">
        <f aca="false">K224/3.1416</f>
        <v>5.72956455309397</v>
      </c>
      <c r="H224" s="1" t="n">
        <v>0</v>
      </c>
      <c r="I224" s="2" t="s">
        <v>74</v>
      </c>
      <c r="J224" s="1" t="s">
        <v>237</v>
      </c>
      <c r="K224" s="1" t="n">
        <v>18</v>
      </c>
    </row>
    <row r="225" customFormat="false" ht="14.25" hidden="true" customHeight="false" outlineLevel="0" collapsed="false">
      <c r="A225" s="1" t="n">
        <v>8</v>
      </c>
      <c r="B225" s="1" t="s">
        <v>122</v>
      </c>
      <c r="C225" s="1" t="s">
        <v>236</v>
      </c>
      <c r="D225" s="23"/>
      <c r="G225" s="21" t="n">
        <f aca="false">K225/3.1416</f>
        <v>16.8703845174433</v>
      </c>
      <c r="H225" s="1" t="n">
        <v>15</v>
      </c>
      <c r="I225" s="2" t="s">
        <v>129</v>
      </c>
      <c r="J225" s="1" t="s">
        <v>237</v>
      </c>
      <c r="K225" s="1" t="n">
        <v>53</v>
      </c>
    </row>
    <row r="226" customFormat="false" ht="14.25" hidden="true" customHeight="false" outlineLevel="0" collapsed="false">
      <c r="A226" s="1" t="n">
        <v>15</v>
      </c>
      <c r="B226" s="1" t="s">
        <v>131</v>
      </c>
      <c r="C226" s="1" t="s">
        <v>236</v>
      </c>
      <c r="D226" s="23"/>
      <c r="G226" s="21" t="n">
        <f aca="false">K226/3.1416</f>
        <v>33.4224598930481</v>
      </c>
      <c r="H226" s="1" t="n">
        <v>15</v>
      </c>
      <c r="I226" s="1" t="s">
        <v>129</v>
      </c>
      <c r="J226" s="1" t="s">
        <v>237</v>
      </c>
      <c r="K226" s="1" t="n">
        <v>105</v>
      </c>
    </row>
    <row r="227" customFormat="false" ht="14.25" hidden="true" customHeight="false" outlineLevel="0" collapsed="false">
      <c r="A227" s="1" t="n">
        <v>21</v>
      </c>
      <c r="B227" s="1" t="s">
        <v>135</v>
      </c>
      <c r="C227" s="1" t="s">
        <v>236</v>
      </c>
      <c r="D227" s="23" t="s">
        <v>238</v>
      </c>
      <c r="E227" s="1" t="s">
        <v>239</v>
      </c>
      <c r="F227" s="1" t="s">
        <v>120</v>
      </c>
      <c r="G227" s="21" t="n">
        <f aca="false">K227/3.1416</f>
        <v>8.59434682964095</v>
      </c>
      <c r="H227" s="1" t="n">
        <v>15</v>
      </c>
      <c r="I227" s="1" t="s">
        <v>129</v>
      </c>
      <c r="J227" s="1" t="s">
        <v>237</v>
      </c>
      <c r="K227" s="1" t="n">
        <v>27</v>
      </c>
    </row>
    <row r="228" customFormat="false" ht="14.25" hidden="true" customHeight="false" outlineLevel="0" collapsed="false">
      <c r="A228" s="1" t="n">
        <v>28</v>
      </c>
      <c r="B228" s="1" t="s">
        <v>82</v>
      </c>
      <c r="C228" s="1" t="s">
        <v>236</v>
      </c>
      <c r="D228" s="23"/>
      <c r="G228" s="21" t="n">
        <f aca="false">K228/3.1416</f>
        <v>4.1380188439012</v>
      </c>
      <c r="H228" s="1" t="n">
        <v>8</v>
      </c>
      <c r="I228" s="1" t="s">
        <v>129</v>
      </c>
      <c r="J228" s="1" t="s">
        <v>237</v>
      </c>
      <c r="K228" s="1" t="n">
        <v>13</v>
      </c>
    </row>
    <row r="229" customFormat="false" ht="14.25" hidden="true" customHeight="false" outlineLevel="0" collapsed="false">
      <c r="A229" s="1" t="n">
        <v>28</v>
      </c>
      <c r="B229" s="1" t="s">
        <v>82</v>
      </c>
      <c r="C229" s="1" t="s">
        <v>236</v>
      </c>
      <c r="D229" s="23"/>
      <c r="G229" s="21" t="n">
        <f aca="false">K229/3.1416</f>
        <v>3.50140056022409</v>
      </c>
      <c r="H229" s="1" t="n">
        <v>6</v>
      </c>
      <c r="I229" s="1" t="s">
        <v>129</v>
      </c>
      <c r="J229" s="1" t="s">
        <v>237</v>
      </c>
      <c r="K229" s="1" t="n">
        <v>11</v>
      </c>
    </row>
    <row r="230" customFormat="false" ht="14.25" hidden="true" customHeight="false" outlineLevel="0" collapsed="false">
      <c r="A230" s="1" t="n">
        <v>1</v>
      </c>
      <c r="B230" s="1" t="s">
        <v>72</v>
      </c>
      <c r="C230" s="1" t="s">
        <v>236</v>
      </c>
      <c r="D230" s="23"/>
      <c r="G230" s="21" t="n">
        <f aca="false">ROUND(K230/PI(),0)</f>
        <v>9</v>
      </c>
      <c r="H230" s="1" t="n">
        <v>12</v>
      </c>
      <c r="I230" s="1" t="s">
        <v>129</v>
      </c>
      <c r="J230" s="1" t="s">
        <v>162</v>
      </c>
      <c r="K230" s="1" t="n">
        <v>29</v>
      </c>
    </row>
    <row r="231" customFormat="false" ht="14.25" hidden="true" customHeight="false" outlineLevel="0" collapsed="false">
      <c r="A231" s="1" t="n">
        <v>2</v>
      </c>
      <c r="B231" s="1" t="s">
        <v>72</v>
      </c>
      <c r="C231" s="1" t="s">
        <v>236</v>
      </c>
      <c r="D231" s="23"/>
      <c r="G231" s="21" t="n">
        <f aca="false">ROUND(K231/PI(),0)</f>
        <v>4</v>
      </c>
      <c r="H231" s="1" t="n">
        <v>7</v>
      </c>
      <c r="I231" s="1" t="s">
        <v>129</v>
      </c>
      <c r="J231" s="1" t="s">
        <v>162</v>
      </c>
      <c r="K231" s="1" t="n">
        <v>12</v>
      </c>
    </row>
    <row r="232" customFormat="false" ht="14.25" hidden="true" customHeight="false" outlineLevel="0" collapsed="false">
      <c r="A232" s="1" t="n">
        <v>3</v>
      </c>
      <c r="B232" s="1" t="s">
        <v>82</v>
      </c>
      <c r="C232" s="1" t="s">
        <v>236</v>
      </c>
      <c r="D232" s="23"/>
      <c r="G232" s="21" t="n">
        <f aca="false">ROUND(K232/PI(),0)</f>
        <v>4</v>
      </c>
      <c r="H232" s="1" t="n">
        <v>6</v>
      </c>
      <c r="I232" s="1" t="s">
        <v>129</v>
      </c>
      <c r="J232" s="1" t="s">
        <v>162</v>
      </c>
      <c r="K232" s="1" t="n">
        <v>13</v>
      </c>
    </row>
    <row r="233" customFormat="false" ht="14.25" hidden="true" customHeight="false" outlineLevel="0" collapsed="false">
      <c r="A233" s="1" t="n">
        <v>4</v>
      </c>
      <c r="B233" s="1" t="s">
        <v>82</v>
      </c>
      <c r="C233" s="1" t="s">
        <v>236</v>
      </c>
      <c r="D233" s="23"/>
      <c r="G233" s="21" t="n">
        <f aca="false">ROUND(K233/PI(),0)</f>
        <v>4</v>
      </c>
      <c r="H233" s="1" t="n">
        <v>6</v>
      </c>
      <c r="I233" s="1" t="s">
        <v>127</v>
      </c>
      <c r="J233" s="1" t="s">
        <v>162</v>
      </c>
      <c r="K233" s="1" t="n">
        <v>11</v>
      </c>
    </row>
    <row r="234" customFormat="false" ht="14.25" hidden="true" customHeight="false" outlineLevel="0" collapsed="false">
      <c r="A234" s="1" t="n">
        <v>5</v>
      </c>
      <c r="B234" s="1" t="s">
        <v>92</v>
      </c>
      <c r="C234" s="1" t="s">
        <v>236</v>
      </c>
      <c r="D234" s="23" t="s">
        <v>240</v>
      </c>
      <c r="E234" s="1" t="s">
        <v>156</v>
      </c>
      <c r="F234" s="1" t="s">
        <v>120</v>
      </c>
      <c r="G234" s="21" t="n">
        <f aca="false">ROUND(K234/PI(),0)</f>
        <v>3</v>
      </c>
      <c r="H234" s="1" t="n">
        <v>4</v>
      </c>
      <c r="I234" s="1" t="s">
        <v>129</v>
      </c>
      <c r="J234" s="1" t="s">
        <v>162</v>
      </c>
      <c r="K234" s="1" t="n">
        <v>9</v>
      </c>
    </row>
    <row r="235" customFormat="false" ht="14.25" hidden="true" customHeight="false" outlineLevel="0" collapsed="false">
      <c r="A235" s="1" t="n">
        <v>5</v>
      </c>
      <c r="B235" s="1" t="s">
        <v>92</v>
      </c>
      <c r="C235" s="1" t="s">
        <v>236</v>
      </c>
      <c r="D235" s="23" t="s">
        <v>240</v>
      </c>
      <c r="E235" s="1" t="s">
        <v>156</v>
      </c>
      <c r="F235" s="1" t="s">
        <v>120</v>
      </c>
      <c r="G235" s="21" t="n">
        <f aca="false">ROUND(K235/PI(),0)</f>
        <v>4</v>
      </c>
      <c r="H235" s="1" t="n">
        <v>7</v>
      </c>
      <c r="I235" s="1" t="s">
        <v>127</v>
      </c>
      <c r="J235" s="1" t="s">
        <v>141</v>
      </c>
      <c r="K235" s="1" t="n">
        <v>14</v>
      </c>
    </row>
    <row r="236" customFormat="false" ht="14.25" hidden="true" customHeight="false" outlineLevel="0" collapsed="false">
      <c r="A236" s="1" t="n">
        <v>5</v>
      </c>
      <c r="B236" s="1" t="s">
        <v>92</v>
      </c>
      <c r="C236" s="1" t="s">
        <v>236</v>
      </c>
      <c r="D236" s="23" t="s">
        <v>240</v>
      </c>
      <c r="E236" s="1" t="s">
        <v>156</v>
      </c>
      <c r="F236" s="1" t="s">
        <v>120</v>
      </c>
      <c r="G236" s="21" t="n">
        <f aca="false">ROUND(K236/PI(),0)</f>
        <v>3</v>
      </c>
      <c r="H236" s="1" t="n">
        <v>5</v>
      </c>
      <c r="I236" s="1" t="s">
        <v>129</v>
      </c>
      <c r="J236" s="1" t="s">
        <v>141</v>
      </c>
      <c r="K236" s="1" t="n">
        <v>9</v>
      </c>
    </row>
    <row r="237" customFormat="false" ht="14.25" hidden="true" customHeight="false" outlineLevel="0" collapsed="false">
      <c r="A237" s="1" t="n">
        <v>5</v>
      </c>
      <c r="B237" s="1" t="s">
        <v>92</v>
      </c>
      <c r="C237" s="1" t="s">
        <v>236</v>
      </c>
      <c r="D237" s="23" t="s">
        <v>240</v>
      </c>
      <c r="E237" s="1" t="s">
        <v>156</v>
      </c>
      <c r="F237" s="1" t="s">
        <v>120</v>
      </c>
      <c r="G237" s="21" t="n">
        <f aca="false">ROUND(K237/PI(),0)</f>
        <v>8</v>
      </c>
      <c r="H237" s="1" t="n">
        <v>6</v>
      </c>
      <c r="I237" s="1" t="s">
        <v>129</v>
      </c>
      <c r="J237" s="1" t="s">
        <v>141</v>
      </c>
      <c r="K237" s="1" t="n">
        <v>24</v>
      </c>
    </row>
    <row r="238" customFormat="false" ht="14.25" hidden="true" customHeight="false" outlineLevel="0" collapsed="false">
      <c r="A238" s="1" t="n">
        <v>7</v>
      </c>
      <c r="B238" s="1" t="s">
        <v>101</v>
      </c>
      <c r="C238" s="1" t="s">
        <v>236</v>
      </c>
      <c r="D238" s="23"/>
      <c r="G238" s="21" t="n">
        <f aca="false">ROUND(K238/PI(),0)</f>
        <v>5</v>
      </c>
      <c r="H238" s="1" t="n">
        <v>6</v>
      </c>
      <c r="I238" s="1" t="s">
        <v>129</v>
      </c>
      <c r="J238" s="1" t="s">
        <v>162</v>
      </c>
      <c r="K238" s="1" t="n">
        <v>15</v>
      </c>
    </row>
    <row r="239" customFormat="false" ht="14.25" hidden="true" customHeight="false" outlineLevel="0" collapsed="false">
      <c r="A239" s="1" t="n">
        <v>8</v>
      </c>
      <c r="B239" s="1" t="s">
        <v>101</v>
      </c>
      <c r="C239" s="1" t="s">
        <v>236</v>
      </c>
      <c r="D239" s="23"/>
      <c r="E239" s="1" t="s">
        <v>174</v>
      </c>
      <c r="F239" s="1" t="s">
        <v>120</v>
      </c>
      <c r="G239" s="21" t="n">
        <f aca="false">ROUND(K239/PI(),0)</f>
        <v>4</v>
      </c>
      <c r="H239" s="1" t="n">
        <v>4</v>
      </c>
      <c r="I239" s="1" t="s">
        <v>129</v>
      </c>
      <c r="J239" s="1" t="s">
        <v>162</v>
      </c>
      <c r="K239" s="1" t="n">
        <v>11</v>
      </c>
    </row>
    <row r="240" customFormat="false" ht="14.25" hidden="true" customHeight="false" outlineLevel="0" collapsed="false">
      <c r="A240" s="1" t="n">
        <v>1</v>
      </c>
      <c r="B240" s="1" t="s">
        <v>82</v>
      </c>
      <c r="C240" s="1" t="s">
        <v>241</v>
      </c>
      <c r="D240" s="23" t="s">
        <v>242</v>
      </c>
      <c r="E240" s="1" t="s">
        <v>206</v>
      </c>
      <c r="G240" s="21" t="n">
        <f aca="false">K240/3.1416</f>
        <v>7.00280112044818</v>
      </c>
      <c r="H240" s="1" t="n">
        <v>0</v>
      </c>
      <c r="I240" s="2" t="s">
        <v>74</v>
      </c>
      <c r="J240" s="1" t="s">
        <v>130</v>
      </c>
      <c r="K240" s="1" t="n">
        <v>22</v>
      </c>
    </row>
    <row r="241" customFormat="false" ht="14.25" hidden="true" customHeight="false" outlineLevel="0" collapsed="false">
      <c r="A241" s="1" t="n">
        <v>4</v>
      </c>
      <c r="B241" s="1" t="s">
        <v>122</v>
      </c>
      <c r="C241" s="1" t="s">
        <v>241</v>
      </c>
      <c r="D241" s="23" t="s">
        <v>205</v>
      </c>
      <c r="E241" s="1" t="s">
        <v>206</v>
      </c>
      <c r="F241" s="2" t="s">
        <v>138</v>
      </c>
      <c r="G241" s="21" t="n">
        <f aca="false">K241/3.1416</f>
        <v>26.1013496307614</v>
      </c>
      <c r="H241" s="1" t="n">
        <v>0</v>
      </c>
      <c r="I241" s="2" t="s">
        <v>74</v>
      </c>
      <c r="J241" s="1" t="s">
        <v>130</v>
      </c>
      <c r="K241" s="1" t="n">
        <v>82</v>
      </c>
    </row>
    <row r="242" customFormat="false" ht="14.25" hidden="true" customHeight="false" outlineLevel="0" collapsed="false">
      <c r="A242" s="1" t="n">
        <v>10</v>
      </c>
      <c r="B242" s="1" t="s">
        <v>82</v>
      </c>
      <c r="C242" s="1" t="s">
        <v>241</v>
      </c>
      <c r="D242" s="23" t="s">
        <v>242</v>
      </c>
      <c r="E242" s="1" t="s">
        <v>206</v>
      </c>
      <c r="F242" s="2" t="s">
        <v>138</v>
      </c>
      <c r="G242" s="21" t="n">
        <f aca="false">K242/3.1416</f>
        <v>2.54647313470843</v>
      </c>
      <c r="H242" s="1" t="n">
        <v>2.5</v>
      </c>
      <c r="I242" s="2" t="s">
        <v>129</v>
      </c>
      <c r="J242" s="1" t="s">
        <v>130</v>
      </c>
      <c r="K242" s="1" t="n">
        <v>8</v>
      </c>
    </row>
    <row r="243" customFormat="false" ht="14.25" hidden="true" customHeight="false" outlineLevel="0" collapsed="false">
      <c r="A243" s="1" t="n">
        <v>14</v>
      </c>
      <c r="B243" s="1" t="s">
        <v>131</v>
      </c>
      <c r="C243" s="1" t="s">
        <v>241</v>
      </c>
      <c r="D243" s="23" t="s">
        <v>242</v>
      </c>
      <c r="E243" s="1" t="s">
        <v>206</v>
      </c>
      <c r="F243" s="1" t="s">
        <v>138</v>
      </c>
      <c r="G243" s="21" t="n">
        <f aca="false">K243/3.1416</f>
        <v>6.68449197860963</v>
      </c>
      <c r="H243" s="1" t="n">
        <v>6</v>
      </c>
      <c r="I243" s="1" t="s">
        <v>129</v>
      </c>
      <c r="J243" s="1" t="s">
        <v>130</v>
      </c>
      <c r="K243" s="1" t="n">
        <v>21</v>
      </c>
    </row>
    <row r="244" customFormat="false" ht="14.25" hidden="true" customHeight="false" outlineLevel="0" collapsed="false">
      <c r="A244" s="1" t="n">
        <v>26</v>
      </c>
      <c r="B244" s="1" t="s">
        <v>135</v>
      </c>
      <c r="C244" s="1" t="s">
        <v>241</v>
      </c>
      <c r="D244" s="23" t="s">
        <v>242</v>
      </c>
      <c r="E244" s="1" t="s">
        <v>206</v>
      </c>
      <c r="F244" s="1" t="s">
        <v>138</v>
      </c>
      <c r="G244" s="21" t="n">
        <f aca="false">K244/3.1416</f>
        <v>5.41125541125541</v>
      </c>
      <c r="H244" s="1" t="n">
        <v>6</v>
      </c>
      <c r="I244" s="1" t="s">
        <v>127</v>
      </c>
      <c r="J244" s="1" t="s">
        <v>130</v>
      </c>
      <c r="K244" s="1" t="n">
        <v>17</v>
      </c>
    </row>
    <row r="245" customFormat="false" ht="14.25" hidden="true" customHeight="false" outlineLevel="0" collapsed="false">
      <c r="A245" s="1" t="n">
        <v>27</v>
      </c>
      <c r="B245" s="1" t="s">
        <v>82</v>
      </c>
      <c r="C245" s="1" t="s">
        <v>241</v>
      </c>
      <c r="D245" s="23" t="s">
        <v>242</v>
      </c>
      <c r="E245" s="1" t="s">
        <v>206</v>
      </c>
      <c r="F245" s="1" t="s">
        <v>138</v>
      </c>
      <c r="G245" s="21" t="n">
        <f aca="false">K245/3.1416</f>
        <v>3.18309141838554</v>
      </c>
      <c r="H245" s="1" t="n">
        <v>5</v>
      </c>
      <c r="I245" s="1" t="s">
        <v>129</v>
      </c>
      <c r="J245" s="1" t="s">
        <v>130</v>
      </c>
      <c r="K245" s="1" t="n">
        <v>10</v>
      </c>
    </row>
    <row r="246" customFormat="false" ht="14.25" hidden="true" customHeight="false" outlineLevel="0" collapsed="false">
      <c r="A246" s="1" t="n">
        <v>27</v>
      </c>
      <c r="B246" s="1" t="s">
        <v>82</v>
      </c>
      <c r="C246" s="1" t="s">
        <v>241</v>
      </c>
      <c r="D246" s="23" t="s">
        <v>242</v>
      </c>
      <c r="E246" s="1" t="s">
        <v>206</v>
      </c>
      <c r="F246" s="1" t="s">
        <v>138</v>
      </c>
      <c r="G246" s="21" t="n">
        <f aca="false">K246/3.1416</f>
        <v>4.1380188439012</v>
      </c>
      <c r="H246" s="1" t="n">
        <v>6</v>
      </c>
      <c r="I246" s="1" t="s">
        <v>129</v>
      </c>
      <c r="J246" s="1" t="s">
        <v>130</v>
      </c>
      <c r="K246" s="1" t="n">
        <v>13</v>
      </c>
    </row>
    <row r="247" customFormat="false" ht="14.25" hidden="true" customHeight="false" outlineLevel="0" collapsed="false">
      <c r="A247" s="1" t="n">
        <v>29</v>
      </c>
      <c r="B247" s="1" t="s">
        <v>131</v>
      </c>
      <c r="C247" s="1" t="s">
        <v>241</v>
      </c>
      <c r="D247" s="23" t="s">
        <v>242</v>
      </c>
      <c r="E247" s="1" t="s">
        <v>206</v>
      </c>
      <c r="F247" s="1" t="s">
        <v>138</v>
      </c>
      <c r="G247" s="21" t="n">
        <f aca="false">K247/3.1416</f>
        <v>2.54647313470843</v>
      </c>
      <c r="H247" s="1" t="n">
        <v>3</v>
      </c>
      <c r="I247" s="1" t="s">
        <v>129</v>
      </c>
      <c r="J247" s="1" t="s">
        <v>130</v>
      </c>
      <c r="K247" s="1" t="n">
        <v>8</v>
      </c>
    </row>
    <row r="248" customFormat="false" ht="14.25" hidden="true" customHeight="false" outlineLevel="0" collapsed="false">
      <c r="A248" s="1" t="n">
        <v>31</v>
      </c>
      <c r="B248" s="1" t="s">
        <v>131</v>
      </c>
      <c r="C248" s="1" t="s">
        <v>241</v>
      </c>
      <c r="D248" s="23" t="s">
        <v>242</v>
      </c>
      <c r="E248" s="1" t="s">
        <v>206</v>
      </c>
      <c r="F248" s="1" t="s">
        <v>138</v>
      </c>
      <c r="G248" s="21" t="n">
        <f aca="false">K248/3.1416</f>
        <v>4.45632798573975</v>
      </c>
      <c r="H248" s="1" t="n">
        <v>8</v>
      </c>
      <c r="I248" s="1" t="s">
        <v>129</v>
      </c>
      <c r="J248" s="1" t="s">
        <v>130</v>
      </c>
      <c r="K248" s="1" t="n">
        <v>14</v>
      </c>
    </row>
    <row r="249" customFormat="false" ht="14.25" hidden="true" customHeight="false" outlineLevel="0" collapsed="false">
      <c r="A249" s="1" t="n">
        <v>3</v>
      </c>
      <c r="B249" s="1" t="s">
        <v>82</v>
      </c>
      <c r="C249" s="1" t="s">
        <v>241</v>
      </c>
      <c r="D249" s="23" t="s">
        <v>242</v>
      </c>
      <c r="E249" s="1" t="s">
        <v>206</v>
      </c>
      <c r="F249" s="1" t="s">
        <v>138</v>
      </c>
      <c r="G249" s="21" t="n">
        <f aca="false">ROUND(K249/PI(),0)</f>
        <v>6</v>
      </c>
      <c r="H249" s="1" t="n">
        <v>8</v>
      </c>
      <c r="I249" s="1" t="s">
        <v>129</v>
      </c>
      <c r="J249" s="1" t="s">
        <v>141</v>
      </c>
      <c r="K249" s="1" t="n">
        <v>20</v>
      </c>
    </row>
    <row r="250" customFormat="false" ht="14.25" hidden="true" customHeight="false" outlineLevel="0" collapsed="false">
      <c r="A250" s="1" t="n">
        <v>4</v>
      </c>
      <c r="B250" s="1" t="s">
        <v>82</v>
      </c>
      <c r="C250" s="1" t="s">
        <v>241</v>
      </c>
      <c r="D250" s="23" t="s">
        <v>242</v>
      </c>
      <c r="E250" s="1" t="s">
        <v>206</v>
      </c>
      <c r="F250" s="1" t="s">
        <v>138</v>
      </c>
      <c r="G250" s="21" t="n">
        <f aca="false">ROUND(K250/PI(),0)</f>
        <v>7</v>
      </c>
      <c r="H250" s="1" t="n">
        <v>10</v>
      </c>
      <c r="I250" s="1" t="s">
        <v>129</v>
      </c>
      <c r="J250" s="1" t="s">
        <v>141</v>
      </c>
      <c r="K250" s="1" t="n">
        <v>21</v>
      </c>
    </row>
    <row r="251" customFormat="false" ht="14.25" hidden="true" customHeight="false" outlineLevel="0" collapsed="false">
      <c r="A251" s="1" t="n">
        <v>5</v>
      </c>
      <c r="B251" s="1" t="s">
        <v>92</v>
      </c>
      <c r="C251" s="1" t="s">
        <v>241</v>
      </c>
      <c r="D251" s="23" t="s">
        <v>205</v>
      </c>
      <c r="E251" s="1" t="s">
        <v>206</v>
      </c>
      <c r="F251" s="1" t="s">
        <v>138</v>
      </c>
      <c r="G251" s="21" t="n">
        <f aca="false">ROUND(K251/PI(),0)</f>
        <v>5</v>
      </c>
      <c r="H251" s="1" t="n">
        <v>3</v>
      </c>
      <c r="I251" s="1" t="s">
        <v>129</v>
      </c>
      <c r="J251" s="1" t="s">
        <v>243</v>
      </c>
      <c r="K251" s="1" t="n">
        <v>15</v>
      </c>
    </row>
    <row r="252" customFormat="false" ht="14.25" hidden="true" customHeight="false" outlineLevel="0" collapsed="false">
      <c r="A252" s="1" t="n">
        <v>5</v>
      </c>
      <c r="B252" s="1" t="s">
        <v>92</v>
      </c>
      <c r="C252" s="1" t="s">
        <v>241</v>
      </c>
      <c r="D252" s="23" t="s">
        <v>205</v>
      </c>
      <c r="E252" s="1" t="s">
        <v>206</v>
      </c>
      <c r="F252" s="1" t="s">
        <v>138</v>
      </c>
      <c r="G252" s="21" t="n">
        <f aca="false">ROUND(K252/PI(),0)</f>
        <v>5</v>
      </c>
      <c r="H252" s="1" t="n">
        <v>2</v>
      </c>
      <c r="I252" s="1" t="s">
        <v>129</v>
      </c>
      <c r="J252" s="1" t="s">
        <v>243</v>
      </c>
      <c r="K252" s="1" t="n">
        <v>15</v>
      </c>
    </row>
    <row r="253" customFormat="false" ht="14.25" hidden="true" customHeight="false" outlineLevel="0" collapsed="false">
      <c r="A253" s="1" t="n">
        <v>6</v>
      </c>
      <c r="B253" s="1" t="s">
        <v>92</v>
      </c>
      <c r="C253" s="1" t="s">
        <v>241</v>
      </c>
      <c r="D253" s="23" t="s">
        <v>205</v>
      </c>
      <c r="E253" s="1" t="s">
        <v>206</v>
      </c>
      <c r="F253" s="1" t="s">
        <v>138</v>
      </c>
      <c r="G253" s="21" t="n">
        <f aca="false">ROUND(K253/PI(),0)</f>
        <v>9</v>
      </c>
      <c r="H253" s="1" t="n">
        <v>3</v>
      </c>
      <c r="I253" s="1" t="s">
        <v>129</v>
      </c>
      <c r="J253" s="1" t="s">
        <v>243</v>
      </c>
      <c r="K253" s="1" t="n">
        <v>27</v>
      </c>
    </row>
    <row r="254" customFormat="false" ht="14.25" hidden="true" customHeight="false" outlineLevel="0" collapsed="false">
      <c r="A254" s="1" t="n">
        <v>6</v>
      </c>
      <c r="B254" s="1" t="s">
        <v>92</v>
      </c>
      <c r="C254" s="1" t="s">
        <v>241</v>
      </c>
      <c r="D254" s="23" t="s">
        <v>205</v>
      </c>
      <c r="E254" s="1" t="s">
        <v>206</v>
      </c>
      <c r="F254" s="1" t="s">
        <v>138</v>
      </c>
      <c r="G254" s="21" t="n">
        <f aca="false">ROUND(K254/PI(),0)</f>
        <v>5</v>
      </c>
      <c r="H254" s="1" t="n">
        <v>6</v>
      </c>
      <c r="I254" s="1" t="s">
        <v>129</v>
      </c>
      <c r="J254" s="1" t="s">
        <v>243</v>
      </c>
      <c r="K254" s="1" t="n">
        <v>17</v>
      </c>
    </row>
    <row r="255" customFormat="false" ht="14.25" hidden="true" customHeight="false" outlineLevel="0" collapsed="false">
      <c r="A255" s="1" t="n">
        <v>6</v>
      </c>
      <c r="B255" s="1" t="s">
        <v>92</v>
      </c>
      <c r="C255" s="1" t="s">
        <v>241</v>
      </c>
      <c r="D255" s="23" t="s">
        <v>242</v>
      </c>
      <c r="E255" s="1" t="s">
        <v>206</v>
      </c>
      <c r="F255" s="1" t="s">
        <v>138</v>
      </c>
      <c r="G255" s="21" t="n">
        <f aca="false">ROUND(K255/PI(),0)</f>
        <v>7</v>
      </c>
      <c r="H255" s="1" t="n">
        <v>9</v>
      </c>
      <c r="I255" s="1" t="s">
        <v>129</v>
      </c>
      <c r="J255" s="1" t="s">
        <v>141</v>
      </c>
      <c r="K255" s="1" t="n">
        <v>23</v>
      </c>
    </row>
    <row r="256" customFormat="false" ht="14.25" hidden="true" customHeight="false" outlineLevel="0" collapsed="false">
      <c r="A256" s="1" t="n">
        <v>6</v>
      </c>
      <c r="B256" s="1" t="s">
        <v>92</v>
      </c>
      <c r="C256" s="1" t="s">
        <v>241</v>
      </c>
      <c r="D256" s="23" t="s">
        <v>242</v>
      </c>
      <c r="E256" s="1" t="s">
        <v>206</v>
      </c>
      <c r="F256" s="1" t="s">
        <v>138</v>
      </c>
      <c r="G256" s="21" t="n">
        <f aca="false">ROUND(K256/PI(),0)</f>
        <v>7</v>
      </c>
      <c r="H256" s="1" t="n">
        <v>10</v>
      </c>
      <c r="I256" s="1" t="s">
        <v>129</v>
      </c>
      <c r="J256" s="1" t="s">
        <v>141</v>
      </c>
      <c r="K256" s="1" t="n">
        <v>22</v>
      </c>
    </row>
    <row r="257" customFormat="false" ht="14.25" hidden="true" customHeight="false" outlineLevel="0" collapsed="false">
      <c r="A257" s="1" t="n">
        <v>6</v>
      </c>
      <c r="B257" s="1" t="s">
        <v>92</v>
      </c>
      <c r="C257" s="1" t="s">
        <v>241</v>
      </c>
      <c r="D257" s="23" t="s">
        <v>205</v>
      </c>
      <c r="E257" s="1" t="s">
        <v>206</v>
      </c>
      <c r="F257" s="1" t="s">
        <v>138</v>
      </c>
      <c r="G257" s="21" t="n">
        <f aca="false">ROUND(K257/PI(),0)</f>
        <v>5</v>
      </c>
      <c r="H257" s="1" t="n">
        <v>4</v>
      </c>
      <c r="I257" s="1" t="s">
        <v>129</v>
      </c>
      <c r="J257" s="1" t="s">
        <v>243</v>
      </c>
      <c r="K257" s="1" t="n">
        <v>15</v>
      </c>
    </row>
    <row r="258" customFormat="false" ht="14.25" hidden="true" customHeight="false" outlineLevel="0" collapsed="false">
      <c r="A258" s="1" t="n">
        <v>2</v>
      </c>
      <c r="B258" s="1" t="s">
        <v>82</v>
      </c>
      <c r="C258" s="1" t="s">
        <v>244</v>
      </c>
      <c r="D258" s="23"/>
      <c r="G258" s="21" t="n">
        <f aca="false">K258/3.1416</f>
        <v>7.95772854596384</v>
      </c>
      <c r="H258" s="1" t="n">
        <v>0</v>
      </c>
      <c r="I258" s="2" t="s">
        <v>74</v>
      </c>
      <c r="J258" s="1" t="s">
        <v>149</v>
      </c>
      <c r="K258" s="1" t="n">
        <v>25</v>
      </c>
    </row>
    <row r="259" customFormat="false" ht="14.25" hidden="true" customHeight="false" outlineLevel="0" collapsed="false">
      <c r="A259" s="1" t="n">
        <v>4</v>
      </c>
      <c r="B259" s="1" t="s">
        <v>122</v>
      </c>
      <c r="C259" s="1" t="s">
        <v>244</v>
      </c>
      <c r="D259" s="23" t="s">
        <v>245</v>
      </c>
      <c r="E259" s="1" t="s">
        <v>155</v>
      </c>
      <c r="F259" s="2" t="s">
        <v>120</v>
      </c>
      <c r="G259" s="21" t="n">
        <f aca="false">K259/3.1416</f>
        <v>67.4815380697734</v>
      </c>
      <c r="H259" s="1" t="n">
        <v>0</v>
      </c>
      <c r="I259" s="2" t="s">
        <v>74</v>
      </c>
      <c r="J259" s="1" t="s">
        <v>149</v>
      </c>
      <c r="K259" s="1" t="n">
        <v>212</v>
      </c>
    </row>
    <row r="260" customFormat="false" ht="14.25" hidden="true" customHeight="false" outlineLevel="0" collapsed="false">
      <c r="A260" s="1" t="n">
        <v>6</v>
      </c>
      <c r="B260" s="1" t="s">
        <v>122</v>
      </c>
      <c r="C260" s="1" t="s">
        <v>244</v>
      </c>
      <c r="D260" s="23"/>
      <c r="G260" s="21" t="n">
        <f aca="false">K260/3.1416</f>
        <v>15.9154570919277</v>
      </c>
      <c r="H260" s="1" t="n">
        <v>7</v>
      </c>
      <c r="I260" s="2" t="s">
        <v>74</v>
      </c>
      <c r="J260" s="1" t="s">
        <v>149</v>
      </c>
      <c r="K260" s="1" t="n">
        <v>50</v>
      </c>
    </row>
    <row r="261" customFormat="false" ht="14.25" hidden="true" customHeight="false" outlineLevel="0" collapsed="false">
      <c r="A261" s="1" t="n">
        <v>6</v>
      </c>
      <c r="B261" s="1" t="s">
        <v>122</v>
      </c>
      <c r="C261" s="1" t="s">
        <v>244</v>
      </c>
      <c r="D261" s="23"/>
      <c r="G261" s="21" t="n">
        <f aca="false">K261/3.1416</f>
        <v>9.23096511331806</v>
      </c>
      <c r="H261" s="1" t="n">
        <v>10</v>
      </c>
      <c r="I261" s="2" t="s">
        <v>74</v>
      </c>
      <c r="J261" s="1" t="s">
        <v>149</v>
      </c>
      <c r="K261" s="1" t="n">
        <v>29</v>
      </c>
    </row>
    <row r="262" customFormat="false" ht="14.25" hidden="true" customHeight="false" outlineLevel="0" collapsed="false">
      <c r="A262" s="1" t="n">
        <v>11</v>
      </c>
      <c r="B262" s="1" t="s">
        <v>82</v>
      </c>
      <c r="C262" s="1" t="s">
        <v>244</v>
      </c>
      <c r="D262" s="23"/>
      <c r="G262" s="21" t="n">
        <f aca="false">K262/3.1416</f>
        <v>26.4196587726</v>
      </c>
      <c r="H262" s="1" t="n">
        <v>15</v>
      </c>
      <c r="I262" s="1" t="s">
        <v>129</v>
      </c>
      <c r="J262" s="1" t="s">
        <v>149</v>
      </c>
      <c r="K262" s="1" t="n">
        <v>83</v>
      </c>
    </row>
    <row r="263" customFormat="false" ht="14.25" hidden="true" customHeight="false" outlineLevel="0" collapsed="false">
      <c r="A263" s="1" t="n">
        <v>11</v>
      </c>
      <c r="B263" s="1" t="s">
        <v>82</v>
      </c>
      <c r="C263" s="1" t="s">
        <v>244</v>
      </c>
      <c r="D263" s="23"/>
      <c r="G263" s="21" t="n">
        <f aca="false">K263/3.1416</f>
        <v>8.27603768780239</v>
      </c>
      <c r="H263" s="1" t="n">
        <v>6</v>
      </c>
      <c r="I263" s="1" t="s">
        <v>129</v>
      </c>
      <c r="J263" s="1" t="s">
        <v>149</v>
      </c>
      <c r="K263" s="1" t="n">
        <v>26</v>
      </c>
    </row>
    <row r="264" customFormat="false" ht="14.25" hidden="true" customHeight="false" outlineLevel="0" collapsed="false">
      <c r="A264" s="1" t="n">
        <v>15</v>
      </c>
      <c r="B264" s="1" t="s">
        <v>131</v>
      </c>
      <c r="C264" s="1" t="s">
        <v>244</v>
      </c>
      <c r="D264" s="23"/>
      <c r="G264" s="21" t="n">
        <f aca="false">K264/3.1416</f>
        <v>6.04787369493252</v>
      </c>
      <c r="H264" s="1" t="n">
        <v>10</v>
      </c>
      <c r="I264" s="1" t="s">
        <v>129</v>
      </c>
      <c r="J264" s="1" t="s">
        <v>149</v>
      </c>
      <c r="K264" s="1" t="n">
        <v>19</v>
      </c>
    </row>
    <row r="265" customFormat="false" ht="14.25" hidden="true" customHeight="false" outlineLevel="0" collapsed="false">
      <c r="A265" s="1" t="n">
        <v>17</v>
      </c>
      <c r="B265" s="1" t="s">
        <v>128</v>
      </c>
      <c r="C265" s="1" t="s">
        <v>244</v>
      </c>
      <c r="D265" s="23" t="s">
        <v>246</v>
      </c>
      <c r="E265" s="1" t="s">
        <v>247</v>
      </c>
      <c r="F265" s="1" t="s">
        <v>138</v>
      </c>
      <c r="G265" s="21" t="n">
        <f aca="false">K265/3.1416</f>
        <v>3.81970970206264</v>
      </c>
      <c r="H265" s="1" t="n">
        <v>5</v>
      </c>
      <c r="I265" s="1" t="s">
        <v>129</v>
      </c>
      <c r="J265" s="1" t="s">
        <v>149</v>
      </c>
      <c r="K265" s="1" t="n">
        <v>12</v>
      </c>
    </row>
    <row r="266" customFormat="false" ht="14.25" hidden="true" customHeight="false" outlineLevel="0" collapsed="false">
      <c r="A266" s="1" t="n">
        <v>24</v>
      </c>
      <c r="B266" s="1" t="s">
        <v>135</v>
      </c>
      <c r="C266" s="1" t="s">
        <v>244</v>
      </c>
      <c r="D266" s="23"/>
      <c r="G266" s="21" t="n">
        <f aca="false">K266/3.1416</f>
        <v>27.0562770562771</v>
      </c>
      <c r="H266" s="1" t="n">
        <v>25</v>
      </c>
      <c r="I266" s="1" t="s">
        <v>129</v>
      </c>
      <c r="J266" s="1" t="s">
        <v>149</v>
      </c>
      <c r="K266" s="1" t="n">
        <v>85</v>
      </c>
    </row>
    <row r="267" customFormat="false" ht="14.25" hidden="true" customHeight="false" outlineLevel="0" collapsed="false">
      <c r="A267" s="1" t="n">
        <v>25</v>
      </c>
      <c r="B267" s="1" t="s">
        <v>135</v>
      </c>
      <c r="C267" s="1" t="s">
        <v>244</v>
      </c>
      <c r="D267" s="23" t="s">
        <v>248</v>
      </c>
      <c r="E267" s="1" t="s">
        <v>247</v>
      </c>
      <c r="F267" s="1" t="s">
        <v>120</v>
      </c>
      <c r="G267" s="21" t="n">
        <f aca="false">K267/3.1416</f>
        <v>2.54647313470843</v>
      </c>
      <c r="H267" s="1" t="n">
        <v>3</v>
      </c>
      <c r="I267" s="1" t="s">
        <v>129</v>
      </c>
      <c r="J267" s="1" t="s">
        <v>149</v>
      </c>
      <c r="K267" s="1" t="n">
        <v>8</v>
      </c>
    </row>
    <row r="268" customFormat="false" ht="14.25" hidden="true" customHeight="false" outlineLevel="0" collapsed="false">
      <c r="A268" s="1" t="n">
        <v>27</v>
      </c>
      <c r="B268" s="1" t="s">
        <v>82</v>
      </c>
      <c r="C268" s="1" t="s">
        <v>244</v>
      </c>
      <c r="D268" s="23"/>
      <c r="G268" s="21" t="n">
        <f aca="false">K268/3.1416</f>
        <v>18.7802393684747</v>
      </c>
      <c r="H268" s="1" t="n">
        <v>15</v>
      </c>
      <c r="I268" s="1" t="s">
        <v>129</v>
      </c>
      <c r="J268" s="1" t="s">
        <v>149</v>
      </c>
      <c r="K268" s="1" t="n">
        <v>59</v>
      </c>
    </row>
    <row r="269" customFormat="false" ht="14.25" hidden="true" customHeight="false" outlineLevel="0" collapsed="false">
      <c r="A269" s="1" t="n">
        <v>11</v>
      </c>
      <c r="B269" s="1" t="s">
        <v>82</v>
      </c>
      <c r="C269" s="1" t="s">
        <v>249</v>
      </c>
      <c r="D269" s="23"/>
      <c r="G269" s="21" t="n">
        <f aca="false">K269/3.1416</f>
        <v>75.4392666157372</v>
      </c>
      <c r="H269" s="1" t="n">
        <v>25</v>
      </c>
      <c r="I269" s="1" t="s">
        <v>129</v>
      </c>
      <c r="J269" s="1" t="s">
        <v>74</v>
      </c>
      <c r="K269" s="1" t="n">
        <v>237</v>
      </c>
    </row>
    <row r="270" customFormat="false" ht="14.25" hidden="true" customHeight="false" outlineLevel="0" collapsed="false">
      <c r="A270" s="1" t="n">
        <v>4</v>
      </c>
      <c r="B270" s="1" t="s">
        <v>122</v>
      </c>
      <c r="C270" s="1" t="s">
        <v>250</v>
      </c>
      <c r="D270" s="23" t="s">
        <v>251</v>
      </c>
      <c r="E270" s="1" t="s">
        <v>182</v>
      </c>
      <c r="F270" s="2" t="s">
        <v>138</v>
      </c>
      <c r="G270" s="21" t="n">
        <f aca="false">K270/3.1416</f>
        <v>48.0646804176216</v>
      </c>
      <c r="H270" s="1" t="n">
        <v>0</v>
      </c>
      <c r="I270" s="2" t="s">
        <v>74</v>
      </c>
      <c r="J270" s="1" t="s">
        <v>149</v>
      </c>
      <c r="K270" s="1" t="n">
        <v>151</v>
      </c>
    </row>
    <row r="271" customFormat="false" ht="14.25" hidden="true" customHeight="false" outlineLevel="0" collapsed="false">
      <c r="A271" s="1" t="n">
        <v>6</v>
      </c>
      <c r="B271" s="1" t="s">
        <v>122</v>
      </c>
      <c r="C271" s="1" t="s">
        <v>250</v>
      </c>
      <c r="D271" s="23" t="s">
        <v>251</v>
      </c>
      <c r="E271" s="1" t="s">
        <v>182</v>
      </c>
      <c r="F271" s="2" t="s">
        <v>138</v>
      </c>
      <c r="G271" s="21" t="n">
        <f aca="false">K271/3.1416</f>
        <v>34.6956964604023</v>
      </c>
      <c r="H271" s="1" t="n">
        <v>20</v>
      </c>
      <c r="I271" s="2" t="s">
        <v>74</v>
      </c>
      <c r="J271" s="1" t="s">
        <v>149</v>
      </c>
      <c r="K271" s="1" t="n">
        <v>109</v>
      </c>
    </row>
    <row r="272" customFormat="false" ht="14.25" hidden="true" customHeight="false" outlineLevel="0" collapsed="false">
      <c r="A272" s="1" t="n">
        <v>2</v>
      </c>
      <c r="B272" s="1" t="s">
        <v>82</v>
      </c>
      <c r="C272" s="1" t="s">
        <v>252</v>
      </c>
      <c r="D272" s="23" t="s">
        <v>253</v>
      </c>
      <c r="E272" s="1" t="s">
        <v>254</v>
      </c>
      <c r="F272" s="2" t="s">
        <v>138</v>
      </c>
      <c r="G272" s="21" t="n">
        <f aca="false">K272/3.1416</f>
        <v>3.18309141838554</v>
      </c>
      <c r="H272" s="1" t="n">
        <v>0</v>
      </c>
      <c r="I272" s="2" t="s">
        <v>74</v>
      </c>
      <c r="J272" s="1" t="s">
        <v>255</v>
      </c>
      <c r="K272" s="1" t="n">
        <v>10</v>
      </c>
    </row>
    <row r="273" customFormat="false" ht="14.25" hidden="true" customHeight="false" outlineLevel="0" collapsed="false">
      <c r="A273" s="1" t="n">
        <v>3</v>
      </c>
      <c r="B273" s="1" t="s">
        <v>122</v>
      </c>
      <c r="C273" s="1" t="s">
        <v>252</v>
      </c>
      <c r="D273" s="23" t="s">
        <v>253</v>
      </c>
      <c r="E273" s="1" t="s">
        <v>254</v>
      </c>
      <c r="F273" s="2" t="s">
        <v>138</v>
      </c>
      <c r="G273" s="21" t="n">
        <f aca="false">K273/3.1416</f>
        <v>2.54647313470843</v>
      </c>
      <c r="H273" s="1" t="n">
        <v>0</v>
      </c>
      <c r="I273" s="2" t="s">
        <v>74</v>
      </c>
      <c r="J273" s="1" t="s">
        <v>255</v>
      </c>
      <c r="K273" s="1" t="n">
        <v>8</v>
      </c>
    </row>
    <row r="274" customFormat="false" ht="14.25" hidden="true" customHeight="false" outlineLevel="0" collapsed="false">
      <c r="A274" s="1" t="n">
        <v>6</v>
      </c>
      <c r="B274" s="1" t="s">
        <v>122</v>
      </c>
      <c r="C274" s="1" t="s">
        <v>252</v>
      </c>
      <c r="D274" s="23" t="s">
        <v>253</v>
      </c>
      <c r="E274" s="1" t="s">
        <v>254</v>
      </c>
      <c r="F274" s="2" t="s">
        <v>138</v>
      </c>
      <c r="G274" s="21" t="n">
        <f aca="false">K274/3.1416</f>
        <v>0</v>
      </c>
      <c r="H274" s="1" t="n">
        <v>2</v>
      </c>
      <c r="I274" s="2" t="s">
        <v>74</v>
      </c>
      <c r="J274" s="1" t="s">
        <v>255</v>
      </c>
      <c r="K274" s="1" t="n">
        <v>0</v>
      </c>
    </row>
    <row r="275" customFormat="false" ht="14.25" hidden="true" customHeight="false" outlineLevel="0" collapsed="false">
      <c r="A275" s="1" t="n">
        <v>7</v>
      </c>
      <c r="B275" s="1" t="s">
        <v>122</v>
      </c>
      <c r="C275" s="1" t="s">
        <v>252</v>
      </c>
      <c r="D275" s="23" t="s">
        <v>253</v>
      </c>
      <c r="E275" s="1" t="s">
        <v>254</v>
      </c>
      <c r="F275" s="2" t="s">
        <v>138</v>
      </c>
      <c r="G275" s="21" t="n">
        <f aca="false">K275/3.1416</f>
        <v>3.18309141838554</v>
      </c>
      <c r="H275" s="1" t="n">
        <v>5</v>
      </c>
      <c r="I275" s="2" t="s">
        <v>74</v>
      </c>
      <c r="J275" s="1" t="s">
        <v>255</v>
      </c>
      <c r="K275" s="1" t="n">
        <v>10</v>
      </c>
    </row>
    <row r="276" customFormat="false" ht="14.25" hidden="true" customHeight="false" outlineLevel="0" collapsed="false">
      <c r="A276" s="1" t="n">
        <v>8</v>
      </c>
      <c r="B276" s="1" t="s">
        <v>122</v>
      </c>
      <c r="C276" s="1" t="s">
        <v>252</v>
      </c>
      <c r="D276" s="23" t="s">
        <v>253</v>
      </c>
      <c r="E276" s="1" t="s">
        <v>254</v>
      </c>
      <c r="F276" s="2" t="s">
        <v>138</v>
      </c>
      <c r="G276" s="21" t="n">
        <f aca="false">K276/3.1416</f>
        <v>2.54647313470843</v>
      </c>
      <c r="H276" s="1" t="n">
        <v>2</v>
      </c>
      <c r="I276" s="2" t="s">
        <v>129</v>
      </c>
      <c r="J276" s="1" t="s">
        <v>255</v>
      </c>
      <c r="K276" s="1" t="n">
        <v>8</v>
      </c>
    </row>
    <row r="277" customFormat="false" ht="14.25" hidden="true" customHeight="false" outlineLevel="0" collapsed="false">
      <c r="A277" s="1" t="n">
        <v>10</v>
      </c>
      <c r="B277" s="1" t="s">
        <v>82</v>
      </c>
      <c r="C277" s="1" t="s">
        <v>252</v>
      </c>
      <c r="D277" s="23" t="s">
        <v>253</v>
      </c>
      <c r="E277" s="1" t="s">
        <v>254</v>
      </c>
      <c r="F277" s="2" t="s">
        <v>138</v>
      </c>
      <c r="G277" s="21" t="n">
        <f aca="false">K277/3.1416</f>
        <v>3.18309141838554</v>
      </c>
      <c r="H277" s="1" t="n">
        <v>4</v>
      </c>
      <c r="I277" s="2" t="s">
        <v>129</v>
      </c>
      <c r="J277" s="1" t="s">
        <v>255</v>
      </c>
      <c r="K277" s="1" t="n">
        <v>10</v>
      </c>
    </row>
    <row r="278" customFormat="false" ht="14.25" hidden="true" customHeight="false" outlineLevel="0" collapsed="false">
      <c r="A278" s="1" t="n">
        <v>11</v>
      </c>
      <c r="B278" s="1" t="s">
        <v>82</v>
      </c>
      <c r="C278" s="1" t="s">
        <v>252</v>
      </c>
      <c r="D278" s="23" t="s">
        <v>253</v>
      </c>
      <c r="E278" s="1" t="s">
        <v>254</v>
      </c>
      <c r="F278" s="2" t="s">
        <v>138</v>
      </c>
      <c r="G278" s="21" t="n">
        <f aca="false">K278/3.1416</f>
        <v>2.54647313470843</v>
      </c>
      <c r="H278" s="1" t="n">
        <v>4.5</v>
      </c>
      <c r="I278" s="1" t="s">
        <v>129</v>
      </c>
      <c r="J278" s="1" t="s">
        <v>255</v>
      </c>
      <c r="K278" s="1" t="n">
        <v>8</v>
      </c>
    </row>
    <row r="279" customFormat="false" ht="14.25" hidden="true" customHeight="false" outlineLevel="0" collapsed="false">
      <c r="A279" s="1" t="n">
        <v>11</v>
      </c>
      <c r="B279" s="1" t="s">
        <v>82</v>
      </c>
      <c r="C279" s="1" t="s">
        <v>252</v>
      </c>
      <c r="D279" s="23" t="s">
        <v>253</v>
      </c>
      <c r="E279" s="1" t="s">
        <v>254</v>
      </c>
      <c r="F279" s="2" t="s">
        <v>138</v>
      </c>
      <c r="G279" s="21" t="n">
        <f aca="false">K279/3.1416</f>
        <v>2.54647313470843</v>
      </c>
      <c r="H279" s="1" t="n">
        <v>4</v>
      </c>
      <c r="I279" s="1" t="s">
        <v>129</v>
      </c>
      <c r="J279" s="1" t="s">
        <v>255</v>
      </c>
      <c r="K279" s="1" t="n">
        <v>8</v>
      </c>
    </row>
    <row r="280" customFormat="false" ht="14.25" hidden="true" customHeight="false" outlineLevel="0" collapsed="false">
      <c r="A280" s="1" t="n">
        <v>11</v>
      </c>
      <c r="B280" s="1" t="s">
        <v>82</v>
      </c>
      <c r="C280" s="1" t="s">
        <v>252</v>
      </c>
      <c r="D280" s="23" t="s">
        <v>253</v>
      </c>
      <c r="E280" s="1" t="s">
        <v>254</v>
      </c>
      <c r="F280" s="1" t="s">
        <v>138</v>
      </c>
      <c r="G280" s="21" t="n">
        <f aca="false">K280/3.1416</f>
        <v>4.7746371275783</v>
      </c>
      <c r="H280" s="1" t="n">
        <v>6</v>
      </c>
      <c r="I280" s="1" t="s">
        <v>129</v>
      </c>
      <c r="J280" s="1" t="s">
        <v>255</v>
      </c>
      <c r="K280" s="1" t="n">
        <v>15</v>
      </c>
    </row>
    <row r="281" customFormat="false" ht="14.25" hidden="true" customHeight="false" outlineLevel="0" collapsed="false">
      <c r="A281" s="1" t="n">
        <v>12</v>
      </c>
      <c r="B281" s="1" t="s">
        <v>128</v>
      </c>
      <c r="C281" s="1" t="s">
        <v>252</v>
      </c>
      <c r="D281" s="23" t="s">
        <v>253</v>
      </c>
      <c r="E281" s="1" t="s">
        <v>254</v>
      </c>
      <c r="F281" s="1" t="s">
        <v>138</v>
      </c>
      <c r="G281" s="21" t="n">
        <f aca="false">K281/3.1416</f>
        <v>2.54647313470843</v>
      </c>
      <c r="H281" s="1" t="n">
        <v>5</v>
      </c>
      <c r="I281" s="1" t="s">
        <v>129</v>
      </c>
      <c r="J281" s="1" t="s">
        <v>255</v>
      </c>
      <c r="K281" s="1" t="n">
        <v>8</v>
      </c>
    </row>
    <row r="282" customFormat="false" ht="14.25" hidden="true" customHeight="false" outlineLevel="0" collapsed="false">
      <c r="A282" s="1" t="n">
        <v>12</v>
      </c>
      <c r="B282" s="1" t="s">
        <v>128</v>
      </c>
      <c r="C282" s="1" t="s">
        <v>252</v>
      </c>
      <c r="D282" s="23" t="s">
        <v>253</v>
      </c>
      <c r="E282" s="1" t="s">
        <v>254</v>
      </c>
      <c r="F282" s="1" t="s">
        <v>138</v>
      </c>
      <c r="G282" s="21" t="n">
        <f aca="false">K282/3.1416</f>
        <v>7.63941940412529</v>
      </c>
      <c r="H282" s="1" t="n">
        <v>7</v>
      </c>
      <c r="I282" s="1" t="s">
        <v>129</v>
      </c>
      <c r="J282" s="1" t="s">
        <v>255</v>
      </c>
      <c r="K282" s="1" t="n">
        <v>24</v>
      </c>
    </row>
    <row r="283" customFormat="false" ht="14.25" hidden="true" customHeight="false" outlineLevel="0" collapsed="false">
      <c r="A283" s="1" t="n">
        <v>12</v>
      </c>
      <c r="B283" s="1" t="s">
        <v>128</v>
      </c>
      <c r="C283" s="1" t="s">
        <v>252</v>
      </c>
      <c r="D283" s="23" t="s">
        <v>253</v>
      </c>
      <c r="E283" s="1" t="s">
        <v>254</v>
      </c>
      <c r="F283" s="1" t="s">
        <v>138</v>
      </c>
      <c r="G283" s="21" t="n">
        <f aca="false">K283/3.1416</f>
        <v>2.54647313470843</v>
      </c>
      <c r="H283" s="1" t="n">
        <v>5</v>
      </c>
      <c r="I283" s="1" t="s">
        <v>129</v>
      </c>
      <c r="J283" s="1" t="s">
        <v>255</v>
      </c>
      <c r="K283" s="1" t="n">
        <v>8</v>
      </c>
    </row>
    <row r="284" customFormat="false" ht="14.25" hidden="true" customHeight="false" outlineLevel="0" collapsed="false">
      <c r="A284" s="1" t="n">
        <v>12</v>
      </c>
      <c r="B284" s="1" t="s">
        <v>128</v>
      </c>
      <c r="C284" s="1" t="s">
        <v>252</v>
      </c>
      <c r="D284" s="23" t="s">
        <v>253</v>
      </c>
      <c r="E284" s="1" t="s">
        <v>254</v>
      </c>
      <c r="F284" s="1" t="s">
        <v>138</v>
      </c>
      <c r="G284" s="21" t="n">
        <f aca="false">K284/3.1416</f>
        <v>4.45632798573975</v>
      </c>
      <c r="H284" s="1" t="n">
        <v>6</v>
      </c>
      <c r="I284" s="1" t="s">
        <v>129</v>
      </c>
      <c r="J284" s="1" t="s">
        <v>255</v>
      </c>
      <c r="K284" s="1" t="n">
        <v>14</v>
      </c>
    </row>
    <row r="285" customFormat="false" ht="14.25" hidden="true" customHeight="false" outlineLevel="0" collapsed="false">
      <c r="A285" s="1" t="n">
        <v>13</v>
      </c>
      <c r="B285" s="1" t="s">
        <v>128</v>
      </c>
      <c r="C285" s="1" t="s">
        <v>252</v>
      </c>
      <c r="D285" s="23" t="s">
        <v>253</v>
      </c>
      <c r="E285" s="1" t="s">
        <v>254</v>
      </c>
      <c r="F285" s="1" t="s">
        <v>138</v>
      </c>
      <c r="G285" s="21" t="n">
        <f aca="false">2*K285/3.1416</f>
        <v>12.7323656735421</v>
      </c>
      <c r="H285" s="1" t="n">
        <v>3</v>
      </c>
      <c r="I285" s="1" t="s">
        <v>129</v>
      </c>
      <c r="J285" s="1" t="s">
        <v>255</v>
      </c>
      <c r="K285" s="1" t="n">
        <v>20</v>
      </c>
    </row>
    <row r="286" customFormat="false" ht="14.25" hidden="true" customHeight="false" outlineLevel="0" collapsed="false">
      <c r="A286" s="1" t="n">
        <v>13</v>
      </c>
      <c r="B286" s="1" t="s">
        <v>128</v>
      </c>
      <c r="C286" s="1" t="s">
        <v>252</v>
      </c>
      <c r="D286" s="23" t="s">
        <v>253</v>
      </c>
      <c r="E286" s="1" t="s">
        <v>254</v>
      </c>
      <c r="F286" s="1" t="s">
        <v>138</v>
      </c>
      <c r="G286" s="21" t="n">
        <f aca="false">2*K286/3.1416</f>
        <v>10.8225108225108</v>
      </c>
      <c r="H286" s="1" t="n">
        <v>7</v>
      </c>
      <c r="I286" s="1" t="s">
        <v>129</v>
      </c>
      <c r="J286" s="1" t="s">
        <v>255</v>
      </c>
      <c r="K286" s="1" t="n">
        <v>17</v>
      </c>
    </row>
    <row r="287" customFormat="false" ht="14.25" hidden="true" customHeight="false" outlineLevel="0" collapsed="false">
      <c r="A287" s="1" t="n">
        <v>14</v>
      </c>
      <c r="B287" s="1" t="s">
        <v>131</v>
      </c>
      <c r="C287" s="1" t="s">
        <v>252</v>
      </c>
      <c r="D287" s="23" t="s">
        <v>253</v>
      </c>
      <c r="E287" s="1" t="s">
        <v>254</v>
      </c>
      <c r="F287" s="1" t="s">
        <v>138</v>
      </c>
      <c r="G287" s="21" t="n">
        <f aca="false">K287/3.1416</f>
        <v>4.45632798573975</v>
      </c>
      <c r="H287" s="1" t="n">
        <v>5</v>
      </c>
      <c r="I287" s="1" t="s">
        <v>129</v>
      </c>
      <c r="J287" s="1" t="s">
        <v>255</v>
      </c>
      <c r="K287" s="1" t="n">
        <v>14</v>
      </c>
    </row>
    <row r="288" customFormat="false" ht="14.25" hidden="true" customHeight="false" outlineLevel="0" collapsed="false">
      <c r="A288" s="1" t="n">
        <v>14</v>
      </c>
      <c r="B288" s="1" t="s">
        <v>131</v>
      </c>
      <c r="C288" s="1" t="s">
        <v>252</v>
      </c>
      <c r="D288" s="23" t="s">
        <v>253</v>
      </c>
      <c r="E288" s="1" t="s">
        <v>254</v>
      </c>
      <c r="F288" s="1" t="s">
        <v>138</v>
      </c>
      <c r="G288" s="21" t="n">
        <f aca="false">K288/3.1416</f>
        <v>3.50140056022409</v>
      </c>
      <c r="H288" s="1" t="n">
        <v>5</v>
      </c>
      <c r="I288" s="1" t="s">
        <v>129</v>
      </c>
      <c r="J288" s="1" t="s">
        <v>255</v>
      </c>
      <c r="K288" s="1" t="n">
        <v>11</v>
      </c>
    </row>
    <row r="289" customFormat="false" ht="14.25" hidden="true" customHeight="false" outlineLevel="0" collapsed="false">
      <c r="A289" s="1" t="n">
        <v>14</v>
      </c>
      <c r="B289" s="1" t="s">
        <v>131</v>
      </c>
      <c r="C289" s="1" t="s">
        <v>252</v>
      </c>
      <c r="D289" s="23" t="s">
        <v>253</v>
      </c>
      <c r="E289" s="1" t="s">
        <v>254</v>
      </c>
      <c r="F289" s="1" t="s">
        <v>138</v>
      </c>
      <c r="G289" s="21" t="n">
        <f aca="false">K289/3.1416</f>
        <v>2.54647313470843</v>
      </c>
      <c r="H289" s="1" t="n">
        <v>3</v>
      </c>
      <c r="I289" s="1" t="s">
        <v>129</v>
      </c>
      <c r="J289" s="1" t="s">
        <v>255</v>
      </c>
      <c r="K289" s="1" t="n">
        <v>8</v>
      </c>
    </row>
    <row r="290" customFormat="false" ht="14.25" hidden="true" customHeight="false" outlineLevel="0" collapsed="false">
      <c r="A290" s="1" t="n">
        <v>14</v>
      </c>
      <c r="B290" s="1" t="s">
        <v>131</v>
      </c>
      <c r="C290" s="1" t="s">
        <v>252</v>
      </c>
      <c r="D290" s="23" t="s">
        <v>253</v>
      </c>
      <c r="E290" s="1" t="s">
        <v>254</v>
      </c>
      <c r="F290" s="1" t="s">
        <v>138</v>
      </c>
      <c r="G290" s="21" t="n">
        <f aca="false">K290/3.1416</f>
        <v>4.1380188439012</v>
      </c>
      <c r="H290" s="1" t="n">
        <v>6</v>
      </c>
      <c r="I290" s="1" t="s">
        <v>129</v>
      </c>
      <c r="J290" s="1" t="s">
        <v>255</v>
      </c>
      <c r="K290" s="1" t="n">
        <v>13</v>
      </c>
    </row>
    <row r="291" customFormat="false" ht="14.25" hidden="true" customHeight="false" outlineLevel="0" collapsed="false">
      <c r="A291" s="1" t="n">
        <v>14</v>
      </c>
      <c r="B291" s="1" t="s">
        <v>131</v>
      </c>
      <c r="C291" s="1" t="s">
        <v>252</v>
      </c>
      <c r="D291" s="23" t="s">
        <v>253</v>
      </c>
      <c r="E291" s="1" t="s">
        <v>254</v>
      </c>
      <c r="F291" s="1" t="s">
        <v>138</v>
      </c>
      <c r="G291" s="21" t="n">
        <f aca="false">K291/3.1416</f>
        <v>3.50140056022409</v>
      </c>
      <c r="H291" s="1" t="n">
        <v>5</v>
      </c>
      <c r="I291" s="1" t="s">
        <v>129</v>
      </c>
      <c r="J291" s="1" t="s">
        <v>255</v>
      </c>
      <c r="K291" s="1" t="n">
        <v>11</v>
      </c>
    </row>
    <row r="292" customFormat="false" ht="14.25" hidden="true" customHeight="false" outlineLevel="0" collapsed="false">
      <c r="A292" s="1" t="n">
        <v>14</v>
      </c>
      <c r="B292" s="1" t="s">
        <v>131</v>
      </c>
      <c r="C292" s="1" t="s">
        <v>252</v>
      </c>
      <c r="D292" s="23" t="s">
        <v>253</v>
      </c>
      <c r="E292" s="1" t="s">
        <v>254</v>
      </c>
      <c r="F292" s="1" t="s">
        <v>138</v>
      </c>
      <c r="G292" s="21" t="n">
        <f aca="false">K292/3.1416</f>
        <v>3.18309141838554</v>
      </c>
      <c r="H292" s="1" t="n">
        <v>4</v>
      </c>
      <c r="I292" s="1" t="s">
        <v>129</v>
      </c>
      <c r="J292" s="1" t="s">
        <v>255</v>
      </c>
      <c r="K292" s="1" t="n">
        <v>10</v>
      </c>
    </row>
    <row r="293" customFormat="false" ht="14.25" hidden="true" customHeight="false" outlineLevel="0" collapsed="false">
      <c r="A293" s="1" t="n">
        <v>14</v>
      </c>
      <c r="B293" s="1" t="s">
        <v>131</v>
      </c>
      <c r="C293" s="1" t="s">
        <v>252</v>
      </c>
      <c r="D293" s="23" t="s">
        <v>253</v>
      </c>
      <c r="E293" s="1" t="s">
        <v>254</v>
      </c>
      <c r="F293" s="1" t="s">
        <v>138</v>
      </c>
      <c r="G293" s="21" t="n">
        <f aca="false">K293/3.1416</f>
        <v>3.81970970206264</v>
      </c>
      <c r="H293" s="1" t="n">
        <v>6</v>
      </c>
      <c r="I293" s="1" t="s">
        <v>129</v>
      </c>
      <c r="J293" s="1" t="s">
        <v>255</v>
      </c>
      <c r="K293" s="1" t="n">
        <v>12</v>
      </c>
    </row>
    <row r="294" customFormat="false" ht="14.25" hidden="true" customHeight="false" outlineLevel="0" collapsed="false">
      <c r="A294" s="1" t="n">
        <v>15</v>
      </c>
      <c r="B294" s="1" t="s">
        <v>131</v>
      </c>
      <c r="C294" s="1" t="s">
        <v>252</v>
      </c>
      <c r="D294" s="23" t="s">
        <v>253</v>
      </c>
      <c r="E294" s="1" t="s">
        <v>254</v>
      </c>
      <c r="F294" s="1" t="s">
        <v>138</v>
      </c>
      <c r="G294" s="21" t="n">
        <f aca="false">K294/3.1416</f>
        <v>6.68449197860963</v>
      </c>
      <c r="H294" s="1" t="n">
        <v>8</v>
      </c>
      <c r="I294" s="1" t="s">
        <v>129</v>
      </c>
      <c r="J294" s="1" t="s">
        <v>255</v>
      </c>
      <c r="K294" s="1" t="n">
        <v>21</v>
      </c>
    </row>
    <row r="295" customFormat="false" ht="14.25" hidden="true" customHeight="false" outlineLevel="0" collapsed="false">
      <c r="A295" s="1" t="n">
        <v>16</v>
      </c>
      <c r="B295" s="1" t="s">
        <v>131</v>
      </c>
      <c r="C295" s="1" t="s">
        <v>252</v>
      </c>
      <c r="D295" s="23" t="s">
        <v>253</v>
      </c>
      <c r="E295" s="1" t="s">
        <v>254</v>
      </c>
      <c r="F295" s="1" t="s">
        <v>138</v>
      </c>
      <c r="G295" s="21" t="n">
        <f aca="false">K295/3.1416</f>
        <v>2.54647313470843</v>
      </c>
      <c r="H295" s="1" t="n">
        <v>2</v>
      </c>
      <c r="I295" s="1" t="s">
        <v>129</v>
      </c>
      <c r="J295" s="1" t="s">
        <v>255</v>
      </c>
      <c r="K295" s="1" t="n">
        <v>8</v>
      </c>
    </row>
    <row r="296" customFormat="false" ht="14.25" hidden="true" customHeight="false" outlineLevel="0" collapsed="false">
      <c r="A296" s="1" t="n">
        <v>16</v>
      </c>
      <c r="B296" s="1" t="s">
        <v>131</v>
      </c>
      <c r="C296" s="1" t="s">
        <v>252</v>
      </c>
      <c r="D296" s="23" t="s">
        <v>253</v>
      </c>
      <c r="E296" s="1" t="s">
        <v>254</v>
      </c>
      <c r="F296" s="1" t="s">
        <v>138</v>
      </c>
      <c r="G296" s="21" t="n">
        <f aca="false">K296/3.1416</f>
        <v>4.1380188439012</v>
      </c>
      <c r="H296" s="1" t="n">
        <v>6</v>
      </c>
      <c r="I296" s="1" t="s">
        <v>129</v>
      </c>
      <c r="J296" s="1" t="s">
        <v>255</v>
      </c>
      <c r="K296" s="1" t="n">
        <v>13</v>
      </c>
    </row>
    <row r="297" customFormat="false" ht="14.25" hidden="true" customHeight="false" outlineLevel="0" collapsed="false">
      <c r="A297" s="1" t="n">
        <v>16</v>
      </c>
      <c r="B297" s="1" t="s">
        <v>131</v>
      </c>
      <c r="C297" s="1" t="s">
        <v>252</v>
      </c>
      <c r="D297" s="23" t="s">
        <v>253</v>
      </c>
      <c r="E297" s="1" t="s">
        <v>254</v>
      </c>
      <c r="F297" s="1" t="s">
        <v>138</v>
      </c>
      <c r="G297" s="21" t="n">
        <f aca="false">K297/3.1416</f>
        <v>7.63941940412529</v>
      </c>
      <c r="H297" s="1" t="n">
        <v>6</v>
      </c>
      <c r="I297" s="1" t="s">
        <v>129</v>
      </c>
      <c r="J297" s="1" t="s">
        <v>255</v>
      </c>
      <c r="K297" s="1" t="n">
        <v>24</v>
      </c>
    </row>
    <row r="298" customFormat="false" ht="14.25" hidden="true" customHeight="false" outlineLevel="0" collapsed="false">
      <c r="A298" s="1" t="n">
        <v>16</v>
      </c>
      <c r="B298" s="1" t="s">
        <v>131</v>
      </c>
      <c r="C298" s="1" t="s">
        <v>252</v>
      </c>
      <c r="D298" s="23" t="s">
        <v>253</v>
      </c>
      <c r="E298" s="1" t="s">
        <v>254</v>
      </c>
      <c r="F298" s="1" t="s">
        <v>138</v>
      </c>
      <c r="G298" s="21" t="n">
        <f aca="false">K298/3.1416</f>
        <v>2.54647313470843</v>
      </c>
      <c r="H298" s="1" t="n">
        <v>5</v>
      </c>
      <c r="I298" s="1" t="s">
        <v>129</v>
      </c>
      <c r="J298" s="1" t="s">
        <v>255</v>
      </c>
      <c r="K298" s="1" t="n">
        <v>8</v>
      </c>
    </row>
    <row r="299" customFormat="false" ht="14.25" hidden="true" customHeight="false" outlineLevel="0" collapsed="false">
      <c r="A299" s="1" t="n">
        <v>16</v>
      </c>
      <c r="B299" s="1" t="s">
        <v>131</v>
      </c>
      <c r="C299" s="1" t="s">
        <v>252</v>
      </c>
      <c r="D299" s="23" t="s">
        <v>253</v>
      </c>
      <c r="E299" s="1" t="s">
        <v>254</v>
      </c>
      <c r="F299" s="1" t="s">
        <v>138</v>
      </c>
      <c r="G299" s="21" t="n">
        <f aca="false">K299/3.1416</f>
        <v>2.54647313470843</v>
      </c>
      <c r="H299" s="1" t="n">
        <v>5</v>
      </c>
      <c r="I299" s="1" t="s">
        <v>129</v>
      </c>
      <c r="J299" s="1" t="s">
        <v>255</v>
      </c>
      <c r="K299" s="1" t="n">
        <v>8</v>
      </c>
    </row>
    <row r="300" customFormat="false" ht="14.25" hidden="true" customHeight="false" outlineLevel="0" collapsed="false">
      <c r="A300" s="1" t="n">
        <v>16</v>
      </c>
      <c r="B300" s="1" t="s">
        <v>131</v>
      </c>
      <c r="C300" s="1" t="s">
        <v>252</v>
      </c>
      <c r="D300" s="23" t="s">
        <v>253</v>
      </c>
      <c r="E300" s="1" t="s">
        <v>254</v>
      </c>
      <c r="F300" s="1" t="s">
        <v>138</v>
      </c>
      <c r="G300" s="21" t="n">
        <f aca="false">K300/3.1416</f>
        <v>4.1380188439012</v>
      </c>
      <c r="H300" s="1" t="n">
        <v>7</v>
      </c>
      <c r="I300" s="1" t="s">
        <v>129</v>
      </c>
      <c r="J300" s="1" t="s">
        <v>255</v>
      </c>
      <c r="K300" s="1" t="n">
        <v>13</v>
      </c>
    </row>
    <row r="301" customFormat="false" ht="14.25" hidden="true" customHeight="false" outlineLevel="0" collapsed="false">
      <c r="A301" s="1" t="n">
        <v>16</v>
      </c>
      <c r="B301" s="1" t="s">
        <v>131</v>
      </c>
      <c r="C301" s="1" t="s">
        <v>252</v>
      </c>
      <c r="D301" s="23" t="s">
        <v>253</v>
      </c>
      <c r="E301" s="1" t="s">
        <v>254</v>
      </c>
      <c r="F301" s="1" t="s">
        <v>138</v>
      </c>
      <c r="G301" s="21" t="n">
        <f aca="false">K301/3.1416</f>
        <v>4.1380188439012</v>
      </c>
      <c r="H301" s="1" t="n">
        <v>7</v>
      </c>
      <c r="I301" s="1" t="s">
        <v>129</v>
      </c>
      <c r="J301" s="1" t="s">
        <v>255</v>
      </c>
      <c r="K301" s="1" t="n">
        <v>13</v>
      </c>
    </row>
    <row r="302" customFormat="false" ht="14.25" hidden="true" customHeight="false" outlineLevel="0" collapsed="false">
      <c r="A302" s="1" t="n">
        <v>16</v>
      </c>
      <c r="B302" s="1" t="s">
        <v>131</v>
      </c>
      <c r="C302" s="1" t="s">
        <v>252</v>
      </c>
      <c r="D302" s="23" t="s">
        <v>253</v>
      </c>
      <c r="E302" s="1" t="s">
        <v>254</v>
      </c>
      <c r="F302" s="1" t="s">
        <v>138</v>
      </c>
      <c r="G302" s="21" t="n">
        <f aca="false">K302/3.1416</f>
        <v>9.54927425515661</v>
      </c>
      <c r="H302" s="1" t="n">
        <v>8</v>
      </c>
      <c r="I302" s="1" t="s">
        <v>129</v>
      </c>
      <c r="J302" s="1" t="s">
        <v>255</v>
      </c>
      <c r="K302" s="1" t="n">
        <v>30</v>
      </c>
    </row>
    <row r="303" customFormat="false" ht="14.25" hidden="true" customHeight="false" outlineLevel="0" collapsed="false">
      <c r="A303" s="1" t="n">
        <v>17</v>
      </c>
      <c r="B303" s="1" t="s">
        <v>128</v>
      </c>
      <c r="C303" s="1" t="s">
        <v>252</v>
      </c>
      <c r="D303" s="23" t="s">
        <v>253</v>
      </c>
      <c r="E303" s="1" t="s">
        <v>254</v>
      </c>
      <c r="F303" s="1" t="s">
        <v>138</v>
      </c>
      <c r="G303" s="21" t="n">
        <f aca="false">K303/3.1416</f>
        <v>6.36618283677107</v>
      </c>
      <c r="H303" s="1" t="n">
        <v>6</v>
      </c>
      <c r="I303" s="1" t="s">
        <v>129</v>
      </c>
      <c r="J303" s="1" t="s">
        <v>255</v>
      </c>
      <c r="K303" s="1" t="n">
        <v>20</v>
      </c>
    </row>
    <row r="304" customFormat="false" ht="14.25" hidden="true" customHeight="false" outlineLevel="0" collapsed="false">
      <c r="A304" s="1" t="n">
        <v>17</v>
      </c>
      <c r="B304" s="1" t="s">
        <v>128</v>
      </c>
      <c r="C304" s="1" t="s">
        <v>252</v>
      </c>
      <c r="D304" s="23" t="s">
        <v>253</v>
      </c>
      <c r="E304" s="1" t="s">
        <v>254</v>
      </c>
      <c r="F304" s="1" t="s">
        <v>138</v>
      </c>
      <c r="G304" s="21" t="n">
        <f aca="false">K304/3.1416</f>
        <v>3.18309141838554</v>
      </c>
      <c r="H304" s="1" t="n">
        <v>4</v>
      </c>
      <c r="I304" s="1" t="s">
        <v>129</v>
      </c>
      <c r="J304" s="1" t="s">
        <v>255</v>
      </c>
      <c r="K304" s="1" t="n">
        <v>10</v>
      </c>
    </row>
    <row r="305" customFormat="false" ht="14.25" hidden="true" customHeight="false" outlineLevel="0" collapsed="false">
      <c r="A305" s="1" t="n">
        <v>18</v>
      </c>
      <c r="B305" s="1" t="s">
        <v>128</v>
      </c>
      <c r="C305" s="1" t="s">
        <v>252</v>
      </c>
      <c r="D305" s="23" t="s">
        <v>253</v>
      </c>
      <c r="E305" s="1" t="s">
        <v>254</v>
      </c>
      <c r="F305" s="1" t="s">
        <v>138</v>
      </c>
      <c r="G305" s="21" t="n">
        <f aca="false">K305/3.1416</f>
        <v>4.1380188439012</v>
      </c>
      <c r="H305" s="1" t="n">
        <v>7</v>
      </c>
      <c r="I305" s="1" t="s">
        <v>129</v>
      </c>
      <c r="J305" s="1" t="s">
        <v>255</v>
      </c>
      <c r="K305" s="1" t="n">
        <v>13</v>
      </c>
    </row>
    <row r="306" customFormat="false" ht="14.25" hidden="true" customHeight="false" outlineLevel="0" collapsed="false">
      <c r="A306" s="1" t="n">
        <v>18</v>
      </c>
      <c r="B306" s="1" t="s">
        <v>128</v>
      </c>
      <c r="C306" s="1" t="s">
        <v>252</v>
      </c>
      <c r="D306" s="23" t="s">
        <v>253</v>
      </c>
      <c r="E306" s="1" t="s">
        <v>254</v>
      </c>
      <c r="F306" s="1" t="s">
        <v>138</v>
      </c>
      <c r="G306" s="21" t="n">
        <f aca="false">K306/3.1416</f>
        <v>8.9126559714795</v>
      </c>
      <c r="H306" s="1" t="n">
        <v>10</v>
      </c>
      <c r="I306" s="1" t="s">
        <v>129</v>
      </c>
      <c r="J306" s="1" t="s">
        <v>255</v>
      </c>
      <c r="K306" s="1" t="n">
        <v>28</v>
      </c>
    </row>
    <row r="307" customFormat="false" ht="14.25" hidden="true" customHeight="false" outlineLevel="0" collapsed="false">
      <c r="A307" s="1" t="n">
        <v>18</v>
      </c>
      <c r="B307" s="1" t="s">
        <v>128</v>
      </c>
      <c r="C307" s="1" t="s">
        <v>252</v>
      </c>
      <c r="D307" s="23" t="s">
        <v>253</v>
      </c>
      <c r="E307" s="1" t="s">
        <v>254</v>
      </c>
      <c r="F307" s="1" t="s">
        <v>138</v>
      </c>
      <c r="G307" s="21" t="n">
        <f aca="false">K307/3.1416</f>
        <v>2.54647313470843</v>
      </c>
      <c r="H307" s="1" t="n">
        <v>4</v>
      </c>
      <c r="I307" s="1" t="s">
        <v>129</v>
      </c>
      <c r="J307" s="1" t="s">
        <v>255</v>
      </c>
      <c r="K307" s="1" t="n">
        <v>8</v>
      </c>
    </row>
    <row r="308" customFormat="false" ht="14.25" hidden="true" customHeight="false" outlineLevel="0" collapsed="false">
      <c r="A308" s="1" t="n">
        <v>18</v>
      </c>
      <c r="B308" s="1" t="s">
        <v>128</v>
      </c>
      <c r="C308" s="1" t="s">
        <v>252</v>
      </c>
      <c r="D308" s="23" t="s">
        <v>253</v>
      </c>
      <c r="E308" s="1" t="s">
        <v>254</v>
      </c>
      <c r="F308" s="1" t="s">
        <v>138</v>
      </c>
      <c r="G308" s="21" t="n">
        <f aca="false">K308/3.1416</f>
        <v>2.54647313470843</v>
      </c>
      <c r="H308" s="1" t="n">
        <v>4</v>
      </c>
      <c r="I308" s="1" t="s">
        <v>129</v>
      </c>
      <c r="J308" s="1" t="s">
        <v>255</v>
      </c>
      <c r="K308" s="1" t="n">
        <v>8</v>
      </c>
    </row>
    <row r="309" customFormat="false" ht="14.25" hidden="true" customHeight="false" outlineLevel="0" collapsed="false">
      <c r="A309" s="1" t="n">
        <v>18</v>
      </c>
      <c r="B309" s="1" t="s">
        <v>128</v>
      </c>
      <c r="C309" s="1" t="s">
        <v>252</v>
      </c>
      <c r="D309" s="23" t="s">
        <v>253</v>
      </c>
      <c r="E309" s="1" t="s">
        <v>254</v>
      </c>
      <c r="F309" s="1" t="s">
        <v>138</v>
      </c>
      <c r="G309" s="21" t="n">
        <f aca="false">K309/3.1416</f>
        <v>9.23096511331806</v>
      </c>
      <c r="H309" s="1" t="n">
        <v>7</v>
      </c>
      <c r="I309" s="1" t="s">
        <v>129</v>
      </c>
      <c r="J309" s="1" t="s">
        <v>255</v>
      </c>
      <c r="K309" s="1" t="n">
        <v>29</v>
      </c>
    </row>
    <row r="310" customFormat="false" ht="14.25" hidden="true" customHeight="false" outlineLevel="0" collapsed="false">
      <c r="A310" s="1" t="n">
        <v>19</v>
      </c>
      <c r="B310" s="1" t="s">
        <v>128</v>
      </c>
      <c r="C310" s="1" t="s">
        <v>252</v>
      </c>
      <c r="D310" s="23" t="s">
        <v>253</v>
      </c>
      <c r="E310" s="1" t="s">
        <v>254</v>
      </c>
      <c r="F310" s="1" t="s">
        <v>138</v>
      </c>
      <c r="G310" s="21" t="n">
        <f aca="false">K310/3.1416</f>
        <v>2.54647313470843</v>
      </c>
      <c r="H310" s="1" t="n">
        <v>3</v>
      </c>
      <c r="I310" s="1" t="s">
        <v>129</v>
      </c>
      <c r="J310" s="1" t="s">
        <v>255</v>
      </c>
      <c r="K310" s="1" t="n">
        <v>8</v>
      </c>
    </row>
    <row r="311" customFormat="false" ht="14.25" hidden="true" customHeight="false" outlineLevel="0" collapsed="false">
      <c r="A311" s="1" t="n">
        <v>19</v>
      </c>
      <c r="B311" s="1" t="s">
        <v>128</v>
      </c>
      <c r="C311" s="1" t="s">
        <v>252</v>
      </c>
      <c r="D311" s="23" t="s">
        <v>253</v>
      </c>
      <c r="E311" s="1" t="s">
        <v>254</v>
      </c>
      <c r="F311" s="1" t="s">
        <v>138</v>
      </c>
      <c r="G311" s="21" t="n">
        <f aca="false">K311/3.1416</f>
        <v>5.41125541125541</v>
      </c>
      <c r="H311" s="1" t="n">
        <v>6</v>
      </c>
      <c r="I311" s="1" t="s">
        <v>129</v>
      </c>
      <c r="J311" s="1" t="s">
        <v>255</v>
      </c>
      <c r="K311" s="1" t="n">
        <v>17</v>
      </c>
    </row>
    <row r="312" customFormat="false" ht="14.25" hidden="true" customHeight="false" outlineLevel="0" collapsed="false">
      <c r="A312" s="1" t="n">
        <v>19</v>
      </c>
      <c r="B312" s="1" t="s">
        <v>128</v>
      </c>
      <c r="C312" s="1" t="s">
        <v>252</v>
      </c>
      <c r="D312" s="23" t="s">
        <v>253</v>
      </c>
      <c r="E312" s="1" t="s">
        <v>254</v>
      </c>
      <c r="F312" s="1" t="s">
        <v>138</v>
      </c>
      <c r="G312" s="21" t="n">
        <f aca="false">K312/3.1416</f>
        <v>4.7746371275783</v>
      </c>
      <c r="H312" s="1" t="n">
        <v>4</v>
      </c>
      <c r="I312" s="1" t="s">
        <v>129</v>
      </c>
      <c r="J312" s="1" t="s">
        <v>255</v>
      </c>
      <c r="K312" s="1" t="n">
        <v>15</v>
      </c>
    </row>
    <row r="313" customFormat="false" ht="14.25" hidden="true" customHeight="false" outlineLevel="0" collapsed="false">
      <c r="A313" s="1" t="n">
        <v>19</v>
      </c>
      <c r="B313" s="1" t="s">
        <v>128</v>
      </c>
      <c r="C313" s="1" t="s">
        <v>252</v>
      </c>
      <c r="D313" s="23" t="s">
        <v>253</v>
      </c>
      <c r="E313" s="1" t="s">
        <v>254</v>
      </c>
      <c r="F313" s="1" t="s">
        <v>138</v>
      </c>
      <c r="G313" s="21" t="n">
        <f aca="false">K313/3.1416</f>
        <v>3.81970970206264</v>
      </c>
      <c r="H313" s="1" t="n">
        <v>4</v>
      </c>
      <c r="I313" s="1" t="s">
        <v>129</v>
      </c>
      <c r="J313" s="1" t="s">
        <v>255</v>
      </c>
      <c r="K313" s="1" t="n">
        <v>12</v>
      </c>
    </row>
    <row r="314" customFormat="false" ht="14.25" hidden="true" customHeight="false" outlineLevel="0" collapsed="false">
      <c r="A314" s="1" t="n">
        <v>19</v>
      </c>
      <c r="B314" s="1" t="s">
        <v>128</v>
      </c>
      <c r="C314" s="1" t="s">
        <v>252</v>
      </c>
      <c r="D314" s="23" t="s">
        <v>253</v>
      </c>
      <c r="E314" s="1" t="s">
        <v>254</v>
      </c>
      <c r="F314" s="1" t="s">
        <v>138</v>
      </c>
      <c r="G314" s="21" t="n">
        <f aca="false">K314/3.1416</f>
        <v>2.54647313470843</v>
      </c>
      <c r="H314" s="1" t="n">
        <v>4</v>
      </c>
      <c r="I314" s="1" t="s">
        <v>129</v>
      </c>
      <c r="J314" s="1" t="s">
        <v>255</v>
      </c>
      <c r="K314" s="1" t="n">
        <v>8</v>
      </c>
    </row>
    <row r="315" customFormat="false" ht="14.25" hidden="true" customHeight="false" outlineLevel="0" collapsed="false">
      <c r="A315" s="1" t="n">
        <v>19</v>
      </c>
      <c r="B315" s="1" t="s">
        <v>128</v>
      </c>
      <c r="C315" s="1" t="s">
        <v>252</v>
      </c>
      <c r="D315" s="23" t="s">
        <v>253</v>
      </c>
      <c r="E315" s="1" t="s">
        <v>254</v>
      </c>
      <c r="F315" s="1" t="s">
        <v>138</v>
      </c>
      <c r="G315" s="21" t="n">
        <f aca="false">K315/3.1416</f>
        <v>4.7746371275783</v>
      </c>
      <c r="H315" s="1" t="n">
        <v>6</v>
      </c>
      <c r="I315" s="1" t="s">
        <v>129</v>
      </c>
      <c r="J315" s="1" t="s">
        <v>255</v>
      </c>
      <c r="K315" s="1" t="n">
        <v>15</v>
      </c>
    </row>
    <row r="316" customFormat="false" ht="14.25" hidden="true" customHeight="false" outlineLevel="0" collapsed="false">
      <c r="A316" s="1" t="n">
        <v>19</v>
      </c>
      <c r="B316" s="1" t="s">
        <v>128</v>
      </c>
      <c r="C316" s="1" t="s">
        <v>252</v>
      </c>
      <c r="D316" s="23" t="s">
        <v>253</v>
      </c>
      <c r="E316" s="1" t="s">
        <v>254</v>
      </c>
      <c r="F316" s="1" t="s">
        <v>138</v>
      </c>
      <c r="G316" s="21" t="n">
        <f aca="false">K316/3.1416</f>
        <v>2.54647313470843</v>
      </c>
      <c r="H316" s="1" t="n">
        <v>4</v>
      </c>
      <c r="I316" s="1" t="s">
        <v>129</v>
      </c>
      <c r="J316" s="1" t="s">
        <v>255</v>
      </c>
      <c r="K316" s="1" t="n">
        <v>8</v>
      </c>
    </row>
    <row r="317" customFormat="false" ht="14.25" hidden="true" customHeight="false" outlineLevel="0" collapsed="false">
      <c r="A317" s="1" t="n">
        <v>19</v>
      </c>
      <c r="B317" s="1" t="s">
        <v>128</v>
      </c>
      <c r="C317" s="1" t="s">
        <v>252</v>
      </c>
      <c r="D317" s="23" t="s">
        <v>253</v>
      </c>
      <c r="E317" s="1" t="s">
        <v>254</v>
      </c>
      <c r="F317" s="1" t="s">
        <v>138</v>
      </c>
      <c r="G317" s="21" t="n">
        <f aca="false">K317/3.1416</f>
        <v>10.8225108225108</v>
      </c>
      <c r="H317" s="1" t="n">
        <v>7</v>
      </c>
      <c r="I317" s="1" t="s">
        <v>129</v>
      </c>
      <c r="J317" s="1" t="s">
        <v>255</v>
      </c>
      <c r="K317" s="1" t="n">
        <v>34</v>
      </c>
    </row>
    <row r="318" customFormat="false" ht="14.25" hidden="true" customHeight="false" outlineLevel="0" collapsed="false">
      <c r="A318" s="1" t="n">
        <v>19</v>
      </c>
      <c r="B318" s="1" t="s">
        <v>128</v>
      </c>
      <c r="C318" s="1" t="s">
        <v>252</v>
      </c>
      <c r="D318" s="23" t="s">
        <v>253</v>
      </c>
      <c r="E318" s="1" t="s">
        <v>254</v>
      </c>
      <c r="F318" s="1" t="s">
        <v>138</v>
      </c>
      <c r="G318" s="21" t="n">
        <f aca="false">K318/3.1416</f>
        <v>2.54647313470843</v>
      </c>
      <c r="H318" s="1" t="n">
        <v>3</v>
      </c>
      <c r="I318" s="1" t="s">
        <v>127</v>
      </c>
      <c r="J318" s="1" t="s">
        <v>255</v>
      </c>
      <c r="K318" s="1" t="n">
        <v>8</v>
      </c>
    </row>
    <row r="319" customFormat="false" ht="14.25" hidden="true" customHeight="false" outlineLevel="0" collapsed="false">
      <c r="A319" s="1" t="n">
        <v>19</v>
      </c>
      <c r="B319" s="1" t="s">
        <v>128</v>
      </c>
      <c r="C319" s="1" t="s">
        <v>252</v>
      </c>
      <c r="D319" s="23" t="s">
        <v>253</v>
      </c>
      <c r="E319" s="1" t="s">
        <v>254</v>
      </c>
      <c r="F319" s="1" t="s">
        <v>138</v>
      </c>
      <c r="G319" s="21" t="n">
        <f aca="false">K319/3.1416</f>
        <v>2.54647313470843</v>
      </c>
      <c r="H319" s="1" t="n">
        <v>3</v>
      </c>
      <c r="I319" s="1" t="s">
        <v>129</v>
      </c>
      <c r="J319" s="1" t="s">
        <v>255</v>
      </c>
      <c r="K319" s="1" t="n">
        <v>8</v>
      </c>
    </row>
    <row r="320" customFormat="false" ht="14.25" hidden="true" customHeight="false" outlineLevel="0" collapsed="false">
      <c r="A320" s="1" t="n">
        <v>19</v>
      </c>
      <c r="B320" s="1" t="s">
        <v>128</v>
      </c>
      <c r="C320" s="1" t="s">
        <v>252</v>
      </c>
      <c r="D320" s="23" t="s">
        <v>253</v>
      </c>
      <c r="E320" s="1" t="s">
        <v>254</v>
      </c>
      <c r="F320" s="1" t="s">
        <v>138</v>
      </c>
      <c r="G320" s="21" t="n">
        <f aca="false">K320/3.1416</f>
        <v>2.54647313470843</v>
      </c>
      <c r="H320" s="1" t="n">
        <v>4</v>
      </c>
      <c r="I320" s="1" t="s">
        <v>129</v>
      </c>
      <c r="J320" s="1" t="s">
        <v>255</v>
      </c>
      <c r="K320" s="1" t="n">
        <v>8</v>
      </c>
    </row>
    <row r="321" customFormat="false" ht="14.25" hidden="true" customHeight="false" outlineLevel="0" collapsed="false">
      <c r="A321" s="1" t="n">
        <v>19</v>
      </c>
      <c r="B321" s="1" t="s">
        <v>128</v>
      </c>
      <c r="C321" s="1" t="s">
        <v>252</v>
      </c>
      <c r="D321" s="23" t="s">
        <v>253</v>
      </c>
      <c r="E321" s="1" t="s">
        <v>254</v>
      </c>
      <c r="F321" s="1" t="s">
        <v>138</v>
      </c>
      <c r="G321" s="21" t="n">
        <f aca="false">K321/3.1416</f>
        <v>2.54647313470843</v>
      </c>
      <c r="H321" s="1" t="n">
        <v>4</v>
      </c>
      <c r="I321" s="1" t="s">
        <v>129</v>
      </c>
      <c r="J321" s="1" t="s">
        <v>255</v>
      </c>
      <c r="K321" s="1" t="n">
        <v>8</v>
      </c>
    </row>
    <row r="322" customFormat="false" ht="14.25" hidden="true" customHeight="false" outlineLevel="0" collapsed="false">
      <c r="A322" s="1" t="n">
        <v>19</v>
      </c>
      <c r="B322" s="1" t="s">
        <v>128</v>
      </c>
      <c r="C322" s="1" t="s">
        <v>252</v>
      </c>
      <c r="D322" s="23" t="s">
        <v>253</v>
      </c>
      <c r="E322" s="1" t="s">
        <v>254</v>
      </c>
      <c r="F322" s="1" t="s">
        <v>138</v>
      </c>
      <c r="G322" s="21" t="n">
        <f aca="false">K322/3.1416</f>
        <v>3.81970970206264</v>
      </c>
      <c r="H322" s="1" t="n">
        <v>5</v>
      </c>
      <c r="I322" s="1" t="s">
        <v>129</v>
      </c>
      <c r="J322" s="1" t="s">
        <v>255</v>
      </c>
      <c r="K322" s="1" t="n">
        <v>12</v>
      </c>
    </row>
    <row r="323" customFormat="false" ht="14.25" hidden="true" customHeight="false" outlineLevel="0" collapsed="false">
      <c r="A323" s="1" t="n">
        <v>20</v>
      </c>
      <c r="B323" s="1" t="s">
        <v>128</v>
      </c>
      <c r="C323" s="1" t="s">
        <v>252</v>
      </c>
      <c r="D323" s="23" t="s">
        <v>253</v>
      </c>
      <c r="E323" s="1" t="s">
        <v>254</v>
      </c>
      <c r="F323" s="1" t="s">
        <v>138</v>
      </c>
      <c r="G323" s="21" t="n">
        <f aca="false">K323/3.1416</f>
        <v>6.04787369493252</v>
      </c>
      <c r="H323" s="1" t="n">
        <v>7</v>
      </c>
      <c r="I323" s="1" t="s">
        <v>129</v>
      </c>
      <c r="J323" s="1" t="s">
        <v>255</v>
      </c>
      <c r="K323" s="1" t="n">
        <v>19</v>
      </c>
    </row>
    <row r="324" customFormat="false" ht="14.25" hidden="true" customHeight="false" outlineLevel="0" collapsed="false">
      <c r="A324" s="1" t="n">
        <v>20</v>
      </c>
      <c r="B324" s="1" t="s">
        <v>128</v>
      </c>
      <c r="C324" s="1" t="s">
        <v>252</v>
      </c>
      <c r="D324" s="23" t="s">
        <v>253</v>
      </c>
      <c r="E324" s="1" t="s">
        <v>254</v>
      </c>
      <c r="F324" s="1" t="s">
        <v>138</v>
      </c>
      <c r="G324" s="21" t="n">
        <f aca="false">K324/3.1416</f>
        <v>2.54647313470843</v>
      </c>
      <c r="H324" s="1" t="n">
        <v>3</v>
      </c>
      <c r="I324" s="1" t="s">
        <v>129</v>
      </c>
      <c r="J324" s="1" t="s">
        <v>255</v>
      </c>
      <c r="K324" s="1" t="n">
        <v>8</v>
      </c>
    </row>
    <row r="325" customFormat="false" ht="14.25" hidden="true" customHeight="false" outlineLevel="0" collapsed="false">
      <c r="A325" s="1" t="n">
        <v>20</v>
      </c>
      <c r="B325" s="1" t="s">
        <v>128</v>
      </c>
      <c r="C325" s="1" t="s">
        <v>252</v>
      </c>
      <c r="D325" s="23" t="s">
        <v>253</v>
      </c>
      <c r="E325" s="1" t="s">
        <v>254</v>
      </c>
      <c r="F325" s="1" t="s">
        <v>138</v>
      </c>
      <c r="G325" s="21" t="n">
        <f aca="false">K325/3.1416</f>
        <v>2.54647313470843</v>
      </c>
      <c r="H325" s="1" t="n">
        <v>4</v>
      </c>
      <c r="I325" s="1" t="s">
        <v>129</v>
      </c>
      <c r="J325" s="1" t="s">
        <v>255</v>
      </c>
      <c r="K325" s="1" t="n">
        <v>8</v>
      </c>
    </row>
    <row r="326" customFormat="false" ht="14.25" hidden="true" customHeight="false" outlineLevel="0" collapsed="false">
      <c r="A326" s="1" t="n">
        <v>21</v>
      </c>
      <c r="B326" s="1" t="s">
        <v>135</v>
      </c>
      <c r="C326" s="1" t="s">
        <v>252</v>
      </c>
      <c r="D326" s="23" t="s">
        <v>253</v>
      </c>
      <c r="E326" s="1" t="s">
        <v>254</v>
      </c>
      <c r="F326" s="1" t="s">
        <v>138</v>
      </c>
      <c r="G326" s="21" t="n">
        <f aca="false">K326/3.1416</f>
        <v>2.54647313470843</v>
      </c>
      <c r="H326" s="1" t="n">
        <v>2</v>
      </c>
      <c r="I326" s="1" t="s">
        <v>129</v>
      </c>
      <c r="J326" s="1" t="s">
        <v>255</v>
      </c>
      <c r="K326" s="1" t="n">
        <v>8</v>
      </c>
    </row>
    <row r="327" customFormat="false" ht="14.25" hidden="true" customHeight="false" outlineLevel="0" collapsed="false">
      <c r="A327" s="1" t="n">
        <v>21</v>
      </c>
      <c r="B327" s="1" t="s">
        <v>135</v>
      </c>
      <c r="C327" s="1" t="s">
        <v>252</v>
      </c>
      <c r="D327" s="23" t="s">
        <v>253</v>
      </c>
      <c r="E327" s="1" t="s">
        <v>254</v>
      </c>
      <c r="F327" s="1" t="s">
        <v>138</v>
      </c>
      <c r="G327" s="21" t="n">
        <f aca="false">K327/3.1416</f>
        <v>2.54647313470843</v>
      </c>
      <c r="H327" s="1" t="n">
        <v>2</v>
      </c>
      <c r="I327" s="1" t="s">
        <v>129</v>
      </c>
      <c r="J327" s="1" t="s">
        <v>255</v>
      </c>
      <c r="K327" s="1" t="n">
        <v>8</v>
      </c>
    </row>
    <row r="328" customFormat="false" ht="14.25" hidden="true" customHeight="false" outlineLevel="0" collapsed="false">
      <c r="A328" s="1" t="n">
        <v>21</v>
      </c>
      <c r="B328" s="1" t="s">
        <v>135</v>
      </c>
      <c r="C328" s="1" t="s">
        <v>252</v>
      </c>
      <c r="D328" s="23" t="s">
        <v>253</v>
      </c>
      <c r="E328" s="1" t="s">
        <v>254</v>
      </c>
      <c r="F328" s="1" t="s">
        <v>138</v>
      </c>
      <c r="G328" s="21" t="n">
        <f aca="false">K328/3.1416</f>
        <v>2.54647313470843</v>
      </c>
      <c r="H328" s="1" t="n">
        <v>2</v>
      </c>
      <c r="I328" s="1" t="s">
        <v>129</v>
      </c>
      <c r="J328" s="1" t="s">
        <v>255</v>
      </c>
      <c r="K328" s="1" t="n">
        <v>8</v>
      </c>
    </row>
    <row r="329" customFormat="false" ht="14.25" hidden="true" customHeight="false" outlineLevel="0" collapsed="false">
      <c r="A329" s="1" t="n">
        <v>23</v>
      </c>
      <c r="B329" s="1" t="s">
        <v>135</v>
      </c>
      <c r="C329" s="1" t="s">
        <v>252</v>
      </c>
      <c r="D329" s="23" t="s">
        <v>253</v>
      </c>
      <c r="E329" s="1" t="s">
        <v>254</v>
      </c>
      <c r="F329" s="1" t="s">
        <v>138</v>
      </c>
      <c r="G329" s="21" t="n">
        <f aca="false">K329/3.1416</f>
        <v>3.50140056022409</v>
      </c>
      <c r="H329" s="1" t="n">
        <v>6</v>
      </c>
      <c r="I329" s="1" t="s">
        <v>129</v>
      </c>
      <c r="J329" s="1" t="s">
        <v>255</v>
      </c>
      <c r="K329" s="1" t="n">
        <v>11</v>
      </c>
    </row>
    <row r="330" customFormat="false" ht="14.25" hidden="true" customHeight="false" outlineLevel="0" collapsed="false">
      <c r="A330" s="1" t="n">
        <v>23</v>
      </c>
      <c r="B330" s="1" t="s">
        <v>135</v>
      </c>
      <c r="C330" s="1" t="s">
        <v>252</v>
      </c>
      <c r="D330" s="23" t="s">
        <v>253</v>
      </c>
      <c r="E330" s="1" t="s">
        <v>254</v>
      </c>
      <c r="F330" s="1" t="s">
        <v>138</v>
      </c>
      <c r="G330" s="21" t="n">
        <f aca="false">K330/3.1416</f>
        <v>2.54647313470843</v>
      </c>
      <c r="H330" s="1" t="n">
        <v>4</v>
      </c>
      <c r="I330" s="1" t="s">
        <v>127</v>
      </c>
      <c r="J330" s="1" t="s">
        <v>255</v>
      </c>
      <c r="K330" s="1" t="n">
        <v>8</v>
      </c>
    </row>
    <row r="331" customFormat="false" ht="14.25" hidden="true" customHeight="false" outlineLevel="0" collapsed="false">
      <c r="A331" s="1" t="n">
        <v>23</v>
      </c>
      <c r="B331" s="1" t="s">
        <v>135</v>
      </c>
      <c r="C331" s="1" t="s">
        <v>252</v>
      </c>
      <c r="D331" s="23" t="s">
        <v>253</v>
      </c>
      <c r="E331" s="1" t="s">
        <v>254</v>
      </c>
      <c r="F331" s="1" t="s">
        <v>138</v>
      </c>
      <c r="G331" s="21" t="n">
        <f aca="false">K331/3.1416</f>
        <v>5.09294626941686</v>
      </c>
      <c r="H331" s="1" t="n">
        <v>7</v>
      </c>
      <c r="I331" s="1" t="s">
        <v>129</v>
      </c>
      <c r="J331" s="1" t="s">
        <v>255</v>
      </c>
      <c r="K331" s="1" t="n">
        <v>16</v>
      </c>
    </row>
    <row r="332" customFormat="false" ht="14.25" hidden="true" customHeight="false" outlineLevel="0" collapsed="false">
      <c r="A332" s="1" t="n">
        <v>23</v>
      </c>
      <c r="B332" s="1" t="s">
        <v>135</v>
      </c>
      <c r="C332" s="1" t="s">
        <v>252</v>
      </c>
      <c r="D332" s="23" t="s">
        <v>253</v>
      </c>
      <c r="E332" s="1" t="s">
        <v>254</v>
      </c>
      <c r="F332" s="1" t="s">
        <v>138</v>
      </c>
      <c r="G332" s="21" t="n">
        <f aca="false">K332/3.1416</f>
        <v>3.18309141838554</v>
      </c>
      <c r="H332" s="1" t="n">
        <v>5</v>
      </c>
      <c r="I332" s="1" t="s">
        <v>129</v>
      </c>
      <c r="J332" s="1" t="s">
        <v>255</v>
      </c>
      <c r="K332" s="1" t="n">
        <v>10</v>
      </c>
    </row>
    <row r="333" customFormat="false" ht="14.25" hidden="true" customHeight="false" outlineLevel="0" collapsed="false">
      <c r="A333" s="1" t="n">
        <v>23</v>
      </c>
      <c r="B333" s="1" t="s">
        <v>135</v>
      </c>
      <c r="C333" s="1" t="s">
        <v>252</v>
      </c>
      <c r="D333" s="23" t="s">
        <v>253</v>
      </c>
      <c r="E333" s="1" t="s">
        <v>254</v>
      </c>
      <c r="F333" s="1" t="s">
        <v>138</v>
      </c>
      <c r="G333" s="21" t="n">
        <f aca="false">K333/3.1416</f>
        <v>11.4591291061879</v>
      </c>
      <c r="H333" s="1" t="n">
        <v>8</v>
      </c>
      <c r="I333" s="1" t="s">
        <v>129</v>
      </c>
      <c r="J333" s="1" t="s">
        <v>255</v>
      </c>
      <c r="K333" s="1" t="n">
        <v>36</v>
      </c>
    </row>
    <row r="334" customFormat="false" ht="14.25" hidden="true" customHeight="false" outlineLevel="0" collapsed="false">
      <c r="A334" s="1" t="n">
        <v>23</v>
      </c>
      <c r="B334" s="1" t="s">
        <v>135</v>
      </c>
      <c r="C334" s="1" t="s">
        <v>252</v>
      </c>
      <c r="D334" s="23" t="s">
        <v>253</v>
      </c>
      <c r="E334" s="1" t="s">
        <v>254</v>
      </c>
      <c r="F334" s="1" t="s">
        <v>138</v>
      </c>
      <c r="G334" s="21" t="n">
        <f aca="false">K334/3.1416</f>
        <v>2.54647313470843</v>
      </c>
      <c r="H334" s="1" t="n">
        <v>4</v>
      </c>
      <c r="I334" s="1" t="s">
        <v>129</v>
      </c>
      <c r="J334" s="1" t="s">
        <v>255</v>
      </c>
      <c r="K334" s="1" t="n">
        <v>8</v>
      </c>
    </row>
    <row r="335" customFormat="false" ht="14.25" hidden="true" customHeight="false" outlineLevel="0" collapsed="false">
      <c r="A335" s="1" t="n">
        <v>23</v>
      </c>
      <c r="B335" s="1" t="s">
        <v>135</v>
      </c>
      <c r="C335" s="1" t="s">
        <v>252</v>
      </c>
      <c r="D335" s="23" t="s">
        <v>253</v>
      </c>
      <c r="E335" s="1" t="s">
        <v>254</v>
      </c>
      <c r="F335" s="1" t="s">
        <v>138</v>
      </c>
      <c r="G335" s="21" t="n">
        <f aca="false">K335/3.1416</f>
        <v>6.36618283677107</v>
      </c>
      <c r="H335" s="1" t="n">
        <v>6</v>
      </c>
      <c r="I335" s="1" t="s">
        <v>129</v>
      </c>
      <c r="J335" s="1" t="s">
        <v>255</v>
      </c>
      <c r="K335" s="1" t="n">
        <v>20</v>
      </c>
    </row>
    <row r="336" customFormat="false" ht="14.25" hidden="true" customHeight="false" outlineLevel="0" collapsed="false">
      <c r="A336" s="1" t="n">
        <v>23</v>
      </c>
      <c r="B336" s="1" t="s">
        <v>135</v>
      </c>
      <c r="C336" s="1" t="s">
        <v>252</v>
      </c>
      <c r="D336" s="23" t="s">
        <v>253</v>
      </c>
      <c r="E336" s="1" t="s">
        <v>254</v>
      </c>
      <c r="F336" s="1" t="s">
        <v>138</v>
      </c>
      <c r="G336" s="21" t="n">
        <f aca="false">K336/3.1416</f>
        <v>2.54647313470843</v>
      </c>
      <c r="H336" s="1" t="n">
        <v>4</v>
      </c>
      <c r="I336" s="1" t="s">
        <v>129</v>
      </c>
      <c r="J336" s="1" t="s">
        <v>255</v>
      </c>
      <c r="K336" s="1" t="n">
        <v>8</v>
      </c>
    </row>
    <row r="337" customFormat="false" ht="14.25" hidden="true" customHeight="false" outlineLevel="0" collapsed="false">
      <c r="A337" s="1" t="n">
        <v>23</v>
      </c>
      <c r="B337" s="1" t="s">
        <v>135</v>
      </c>
      <c r="C337" s="1" t="s">
        <v>252</v>
      </c>
      <c r="D337" s="23" t="s">
        <v>253</v>
      </c>
      <c r="E337" s="1" t="s">
        <v>254</v>
      </c>
      <c r="F337" s="1" t="s">
        <v>138</v>
      </c>
      <c r="G337" s="21" t="n">
        <f aca="false">K337/3.1416</f>
        <v>3.81970970206264</v>
      </c>
      <c r="H337" s="1" t="n">
        <v>6</v>
      </c>
      <c r="I337" s="1" t="s">
        <v>129</v>
      </c>
      <c r="J337" s="1" t="s">
        <v>255</v>
      </c>
      <c r="K337" s="1" t="n">
        <v>12</v>
      </c>
    </row>
    <row r="338" customFormat="false" ht="14.25" hidden="true" customHeight="false" outlineLevel="0" collapsed="false">
      <c r="A338" s="1" t="n">
        <v>23</v>
      </c>
      <c r="B338" s="1" t="s">
        <v>135</v>
      </c>
      <c r="C338" s="1" t="s">
        <v>252</v>
      </c>
      <c r="D338" s="23" t="s">
        <v>253</v>
      </c>
      <c r="E338" s="1" t="s">
        <v>254</v>
      </c>
      <c r="F338" s="1" t="s">
        <v>138</v>
      </c>
      <c r="G338" s="21" t="n">
        <f aca="false">K338/3.1416</f>
        <v>8.27603768780239</v>
      </c>
      <c r="H338" s="1" t="n">
        <v>9</v>
      </c>
      <c r="I338" s="1" t="s">
        <v>129</v>
      </c>
      <c r="J338" s="1" t="s">
        <v>255</v>
      </c>
      <c r="K338" s="1" t="n">
        <v>26</v>
      </c>
    </row>
    <row r="339" customFormat="false" ht="14.25" hidden="true" customHeight="false" outlineLevel="0" collapsed="false">
      <c r="A339" s="1" t="n">
        <v>23</v>
      </c>
      <c r="B339" s="1" t="s">
        <v>135</v>
      </c>
      <c r="C339" s="1" t="s">
        <v>252</v>
      </c>
      <c r="D339" s="23" t="s">
        <v>253</v>
      </c>
      <c r="E339" s="1" t="s">
        <v>254</v>
      </c>
      <c r="F339" s="1" t="s">
        <v>138</v>
      </c>
      <c r="G339" s="21" t="n">
        <f aca="false">K339/3.1416</f>
        <v>5.41125541125541</v>
      </c>
      <c r="H339" s="1" t="n">
        <v>6</v>
      </c>
      <c r="I339" s="1" t="s">
        <v>129</v>
      </c>
      <c r="J339" s="1" t="s">
        <v>255</v>
      </c>
      <c r="K339" s="1" t="n">
        <v>17</v>
      </c>
    </row>
    <row r="340" customFormat="false" ht="14.25" hidden="true" customHeight="false" outlineLevel="0" collapsed="false">
      <c r="A340" s="1" t="n">
        <v>25</v>
      </c>
      <c r="B340" s="1" t="s">
        <v>135</v>
      </c>
      <c r="C340" s="1" t="s">
        <v>252</v>
      </c>
      <c r="D340" s="23" t="s">
        <v>253</v>
      </c>
      <c r="E340" s="1" t="s">
        <v>254</v>
      </c>
      <c r="F340" s="1" t="s">
        <v>138</v>
      </c>
      <c r="G340" s="21" t="n">
        <f aca="false">K340/3.1416</f>
        <v>2.54647313470843</v>
      </c>
      <c r="H340" s="1" t="n">
        <v>3</v>
      </c>
      <c r="I340" s="1" t="s">
        <v>129</v>
      </c>
      <c r="J340" s="1" t="s">
        <v>255</v>
      </c>
      <c r="K340" s="1" t="n">
        <v>8</v>
      </c>
    </row>
    <row r="341" customFormat="false" ht="14.25" hidden="true" customHeight="false" outlineLevel="0" collapsed="false">
      <c r="A341" s="1" t="n">
        <v>25</v>
      </c>
      <c r="B341" s="1" t="s">
        <v>135</v>
      </c>
      <c r="C341" s="1" t="s">
        <v>252</v>
      </c>
      <c r="D341" s="23" t="s">
        <v>253</v>
      </c>
      <c r="E341" s="1" t="s">
        <v>254</v>
      </c>
      <c r="F341" s="1" t="s">
        <v>138</v>
      </c>
      <c r="G341" s="21" t="n">
        <f aca="false">K341/3.1416</f>
        <v>5.41125541125541</v>
      </c>
      <c r="H341" s="1" t="n">
        <v>6</v>
      </c>
      <c r="I341" s="1" t="s">
        <v>129</v>
      </c>
      <c r="J341" s="1" t="s">
        <v>255</v>
      </c>
      <c r="K341" s="1" t="n">
        <v>17</v>
      </c>
    </row>
    <row r="342" customFormat="false" ht="14.25" hidden="true" customHeight="false" outlineLevel="0" collapsed="false">
      <c r="A342" s="1" t="n">
        <v>25</v>
      </c>
      <c r="B342" s="1" t="s">
        <v>135</v>
      </c>
      <c r="C342" s="1" t="s">
        <v>252</v>
      </c>
      <c r="D342" s="23" t="s">
        <v>253</v>
      </c>
      <c r="E342" s="1" t="s">
        <v>254</v>
      </c>
      <c r="F342" s="1" t="s">
        <v>138</v>
      </c>
      <c r="G342" s="21" t="n">
        <f aca="false">K342/3.1416</f>
        <v>3.18309141838554</v>
      </c>
      <c r="H342" s="1" t="n">
        <v>6</v>
      </c>
      <c r="I342" s="1" t="s">
        <v>129</v>
      </c>
      <c r="J342" s="1" t="s">
        <v>255</v>
      </c>
      <c r="K342" s="1" t="n">
        <v>10</v>
      </c>
    </row>
    <row r="343" customFormat="false" ht="14.25" hidden="true" customHeight="false" outlineLevel="0" collapsed="false">
      <c r="A343" s="1" t="n">
        <v>25</v>
      </c>
      <c r="B343" s="1" t="s">
        <v>135</v>
      </c>
      <c r="C343" s="1" t="s">
        <v>252</v>
      </c>
      <c r="D343" s="23" t="s">
        <v>253</v>
      </c>
      <c r="E343" s="1" t="s">
        <v>254</v>
      </c>
      <c r="F343" s="1" t="s">
        <v>138</v>
      </c>
      <c r="G343" s="21" t="n">
        <f aca="false">K343/3.1416</f>
        <v>3.18309141838554</v>
      </c>
      <c r="H343" s="1" t="n">
        <v>7</v>
      </c>
      <c r="I343" s="1" t="s">
        <v>129</v>
      </c>
      <c r="J343" s="1" t="s">
        <v>255</v>
      </c>
      <c r="K343" s="1" t="n">
        <v>10</v>
      </c>
    </row>
    <row r="344" customFormat="false" ht="14.25" hidden="true" customHeight="false" outlineLevel="0" collapsed="false">
      <c r="A344" s="1" t="n">
        <v>25</v>
      </c>
      <c r="B344" s="1" t="s">
        <v>135</v>
      </c>
      <c r="C344" s="1" t="s">
        <v>252</v>
      </c>
      <c r="D344" s="23" t="s">
        <v>253</v>
      </c>
      <c r="E344" s="1" t="s">
        <v>254</v>
      </c>
      <c r="F344" s="1" t="s">
        <v>138</v>
      </c>
      <c r="G344" s="21" t="n">
        <f aca="false">K344/3.1416</f>
        <v>3.18309141838554</v>
      </c>
      <c r="H344" s="1" t="n">
        <v>7</v>
      </c>
      <c r="I344" s="1" t="s">
        <v>129</v>
      </c>
      <c r="J344" s="1" t="s">
        <v>255</v>
      </c>
      <c r="K344" s="1" t="n">
        <v>10</v>
      </c>
    </row>
    <row r="345" customFormat="false" ht="14.25" hidden="true" customHeight="false" outlineLevel="0" collapsed="false">
      <c r="A345" s="1" t="n">
        <v>25</v>
      </c>
      <c r="B345" s="1" t="s">
        <v>135</v>
      </c>
      <c r="C345" s="1" t="s">
        <v>252</v>
      </c>
      <c r="D345" s="23" t="s">
        <v>253</v>
      </c>
      <c r="E345" s="1" t="s">
        <v>254</v>
      </c>
      <c r="F345" s="1" t="s">
        <v>138</v>
      </c>
      <c r="G345" s="21" t="n">
        <f aca="false">K345/3.1416</f>
        <v>4.1380188439012</v>
      </c>
      <c r="H345" s="1" t="n">
        <v>5</v>
      </c>
      <c r="I345" s="1" t="s">
        <v>129</v>
      </c>
      <c r="J345" s="1" t="s">
        <v>255</v>
      </c>
      <c r="K345" s="1" t="n">
        <v>13</v>
      </c>
    </row>
    <row r="346" customFormat="false" ht="14.25" hidden="true" customHeight="false" outlineLevel="0" collapsed="false">
      <c r="A346" s="1" t="n">
        <v>25</v>
      </c>
      <c r="B346" s="1" t="s">
        <v>135</v>
      </c>
      <c r="C346" s="1" t="s">
        <v>252</v>
      </c>
      <c r="D346" s="23" t="s">
        <v>253</v>
      </c>
      <c r="E346" s="1" t="s">
        <v>254</v>
      </c>
      <c r="F346" s="1" t="s">
        <v>138</v>
      </c>
      <c r="G346" s="21" t="n">
        <f aca="false">K346/3.1416</f>
        <v>2.54647313470843</v>
      </c>
      <c r="H346" s="1" t="n">
        <v>3</v>
      </c>
      <c r="I346" s="1" t="s">
        <v>129</v>
      </c>
      <c r="J346" s="1" t="s">
        <v>255</v>
      </c>
      <c r="K346" s="1" t="n">
        <v>8</v>
      </c>
    </row>
    <row r="347" customFormat="false" ht="14.25" hidden="true" customHeight="false" outlineLevel="0" collapsed="false">
      <c r="A347" s="1" t="n">
        <v>25</v>
      </c>
      <c r="B347" s="1" t="s">
        <v>135</v>
      </c>
      <c r="C347" s="1" t="s">
        <v>252</v>
      </c>
      <c r="D347" s="23" t="s">
        <v>253</v>
      </c>
      <c r="E347" s="1" t="s">
        <v>254</v>
      </c>
      <c r="F347" s="1" t="s">
        <v>138</v>
      </c>
      <c r="G347" s="21" t="n">
        <f aca="false">K347/3.1416</f>
        <v>2.54647313470843</v>
      </c>
      <c r="H347" s="1" t="n">
        <v>3</v>
      </c>
      <c r="I347" s="1" t="s">
        <v>129</v>
      </c>
      <c r="J347" s="1" t="s">
        <v>255</v>
      </c>
      <c r="K347" s="1" t="n">
        <v>8</v>
      </c>
    </row>
    <row r="348" customFormat="false" ht="14.25" hidden="true" customHeight="false" outlineLevel="0" collapsed="false">
      <c r="A348" s="1" t="n">
        <v>25</v>
      </c>
      <c r="B348" s="1" t="s">
        <v>135</v>
      </c>
      <c r="C348" s="1" t="s">
        <v>252</v>
      </c>
      <c r="D348" s="23" t="s">
        <v>253</v>
      </c>
      <c r="E348" s="1" t="s">
        <v>254</v>
      </c>
      <c r="F348" s="1" t="s">
        <v>138</v>
      </c>
      <c r="G348" s="21" t="n">
        <f aca="false">K348/3.1416</f>
        <v>12.7323656735421</v>
      </c>
      <c r="H348" s="1" t="n">
        <v>7</v>
      </c>
      <c r="I348" s="1" t="s">
        <v>129</v>
      </c>
      <c r="J348" s="1" t="s">
        <v>255</v>
      </c>
      <c r="K348" s="1" t="n">
        <v>40</v>
      </c>
    </row>
    <row r="349" customFormat="false" ht="14.25" hidden="true" customHeight="false" outlineLevel="0" collapsed="false">
      <c r="A349" s="1" t="n">
        <v>26</v>
      </c>
      <c r="B349" s="1" t="s">
        <v>135</v>
      </c>
      <c r="C349" s="1" t="s">
        <v>252</v>
      </c>
      <c r="D349" s="23" t="s">
        <v>253</v>
      </c>
      <c r="E349" s="1" t="s">
        <v>254</v>
      </c>
      <c r="F349" s="1" t="s">
        <v>138</v>
      </c>
      <c r="G349" s="21" t="n">
        <f aca="false">K349/3.1416</f>
        <v>5.72956455309397</v>
      </c>
      <c r="H349" s="1" t="n">
        <v>7</v>
      </c>
      <c r="I349" s="1" t="s">
        <v>129</v>
      </c>
      <c r="J349" s="1" t="s">
        <v>255</v>
      </c>
      <c r="K349" s="1" t="n">
        <v>18</v>
      </c>
    </row>
    <row r="350" customFormat="false" ht="14.25" hidden="true" customHeight="false" outlineLevel="0" collapsed="false">
      <c r="A350" s="1" t="n">
        <v>26</v>
      </c>
      <c r="B350" s="1" t="s">
        <v>135</v>
      </c>
      <c r="C350" s="1" t="s">
        <v>252</v>
      </c>
      <c r="D350" s="23" t="s">
        <v>253</v>
      </c>
      <c r="E350" s="1" t="s">
        <v>254</v>
      </c>
      <c r="F350" s="1" t="s">
        <v>138</v>
      </c>
      <c r="G350" s="21" t="n">
        <f aca="false">K350/3.1416</f>
        <v>3.50140056022409</v>
      </c>
      <c r="H350" s="1" t="n">
        <v>6</v>
      </c>
      <c r="I350" s="1" t="s">
        <v>129</v>
      </c>
      <c r="J350" s="1" t="s">
        <v>255</v>
      </c>
      <c r="K350" s="1" t="n">
        <v>11</v>
      </c>
    </row>
    <row r="351" customFormat="false" ht="14.25" hidden="true" customHeight="false" outlineLevel="0" collapsed="false">
      <c r="A351" s="1" t="n">
        <v>26</v>
      </c>
      <c r="B351" s="1" t="s">
        <v>135</v>
      </c>
      <c r="C351" s="1" t="s">
        <v>252</v>
      </c>
      <c r="D351" s="23" t="s">
        <v>253</v>
      </c>
      <c r="E351" s="1" t="s">
        <v>254</v>
      </c>
      <c r="F351" s="1" t="s">
        <v>138</v>
      </c>
      <c r="G351" s="21" t="n">
        <f aca="false">K351/3.1416</f>
        <v>4.1380188439012</v>
      </c>
      <c r="H351" s="1" t="n">
        <v>7</v>
      </c>
      <c r="I351" s="1" t="s">
        <v>129</v>
      </c>
      <c r="J351" s="1" t="s">
        <v>255</v>
      </c>
      <c r="K351" s="1" t="n">
        <v>13</v>
      </c>
    </row>
    <row r="352" customFormat="false" ht="14.25" hidden="true" customHeight="false" outlineLevel="0" collapsed="false">
      <c r="A352" s="1" t="n">
        <v>26</v>
      </c>
      <c r="B352" s="1" t="s">
        <v>135</v>
      </c>
      <c r="C352" s="1" t="s">
        <v>252</v>
      </c>
      <c r="D352" s="23" t="s">
        <v>253</v>
      </c>
      <c r="E352" s="1" t="s">
        <v>254</v>
      </c>
      <c r="F352" s="1" t="s">
        <v>138</v>
      </c>
      <c r="G352" s="21" t="n">
        <f aca="false">K352/3.1416</f>
        <v>3.18309141838554</v>
      </c>
      <c r="H352" s="1" t="n">
        <v>4</v>
      </c>
      <c r="I352" s="1" t="s">
        <v>129</v>
      </c>
      <c r="J352" s="1" t="s">
        <v>255</v>
      </c>
      <c r="K352" s="1" t="n">
        <v>10</v>
      </c>
    </row>
    <row r="353" customFormat="false" ht="14.25" hidden="true" customHeight="false" outlineLevel="0" collapsed="false">
      <c r="A353" s="1" t="n">
        <v>26</v>
      </c>
      <c r="B353" s="1" t="s">
        <v>135</v>
      </c>
      <c r="C353" s="1" t="s">
        <v>252</v>
      </c>
      <c r="D353" s="23" t="s">
        <v>253</v>
      </c>
      <c r="E353" s="1" t="s">
        <v>254</v>
      </c>
      <c r="F353" s="1" t="s">
        <v>138</v>
      </c>
      <c r="G353" s="21" t="n">
        <f aca="false">K353/3.1416</f>
        <v>4.1380188439012</v>
      </c>
      <c r="H353" s="1" t="n">
        <v>6</v>
      </c>
      <c r="I353" s="1" t="s">
        <v>129</v>
      </c>
      <c r="J353" s="1" t="s">
        <v>255</v>
      </c>
      <c r="K353" s="1" t="n">
        <v>13</v>
      </c>
    </row>
    <row r="354" customFormat="false" ht="14.25" hidden="true" customHeight="false" outlineLevel="0" collapsed="false">
      <c r="A354" s="1" t="n">
        <v>26</v>
      </c>
      <c r="B354" s="1" t="s">
        <v>135</v>
      </c>
      <c r="C354" s="1" t="s">
        <v>252</v>
      </c>
      <c r="D354" s="23" t="s">
        <v>253</v>
      </c>
      <c r="E354" s="1" t="s">
        <v>254</v>
      </c>
      <c r="F354" s="1" t="s">
        <v>138</v>
      </c>
      <c r="G354" s="21" t="n">
        <f aca="false">K354/3.1416</f>
        <v>3.18309141838554</v>
      </c>
      <c r="H354" s="1" t="n">
        <v>4</v>
      </c>
      <c r="I354" s="1" t="s">
        <v>129</v>
      </c>
      <c r="J354" s="1" t="s">
        <v>255</v>
      </c>
      <c r="K354" s="1" t="n">
        <v>10</v>
      </c>
    </row>
    <row r="355" customFormat="false" ht="14.25" hidden="true" customHeight="false" outlineLevel="0" collapsed="false">
      <c r="A355" s="1" t="n">
        <v>26</v>
      </c>
      <c r="B355" s="1" t="s">
        <v>135</v>
      </c>
      <c r="C355" s="1" t="s">
        <v>252</v>
      </c>
      <c r="D355" s="23" t="s">
        <v>253</v>
      </c>
      <c r="E355" s="1" t="s">
        <v>254</v>
      </c>
      <c r="F355" s="1" t="s">
        <v>138</v>
      </c>
      <c r="G355" s="21" t="n">
        <f aca="false">K355/3.1416</f>
        <v>5.41125541125541</v>
      </c>
      <c r="H355" s="1" t="n">
        <v>5</v>
      </c>
      <c r="I355" s="1" t="s">
        <v>129</v>
      </c>
      <c r="J355" s="1" t="s">
        <v>255</v>
      </c>
      <c r="K355" s="1" t="n">
        <v>17</v>
      </c>
    </row>
    <row r="356" customFormat="false" ht="14.25" hidden="true" customHeight="false" outlineLevel="0" collapsed="false">
      <c r="A356" s="1" t="n">
        <v>26</v>
      </c>
      <c r="B356" s="1" t="s">
        <v>135</v>
      </c>
      <c r="C356" s="1" t="s">
        <v>252</v>
      </c>
      <c r="D356" s="23" t="s">
        <v>253</v>
      </c>
      <c r="E356" s="1" t="s">
        <v>254</v>
      </c>
      <c r="F356" s="1" t="s">
        <v>138</v>
      </c>
      <c r="G356" s="21" t="n">
        <f aca="false">K356/3.1416</f>
        <v>3.18309141838554</v>
      </c>
      <c r="H356" s="1" t="n">
        <v>6</v>
      </c>
      <c r="I356" s="1" t="s">
        <v>129</v>
      </c>
      <c r="J356" s="1" t="s">
        <v>255</v>
      </c>
      <c r="K356" s="1" t="n">
        <v>10</v>
      </c>
    </row>
    <row r="357" customFormat="false" ht="14.25" hidden="true" customHeight="false" outlineLevel="0" collapsed="false">
      <c r="A357" s="1" t="n">
        <v>26</v>
      </c>
      <c r="B357" s="1" t="s">
        <v>135</v>
      </c>
      <c r="C357" s="1" t="s">
        <v>252</v>
      </c>
      <c r="D357" s="23" t="s">
        <v>253</v>
      </c>
      <c r="E357" s="1" t="s">
        <v>254</v>
      </c>
      <c r="F357" s="1" t="s">
        <v>138</v>
      </c>
      <c r="G357" s="21" t="n">
        <f aca="false">K357/3.1416</f>
        <v>2.86478227654698</v>
      </c>
      <c r="H357" s="1" t="n">
        <v>5</v>
      </c>
      <c r="I357" s="1" t="s">
        <v>129</v>
      </c>
      <c r="J357" s="1" t="s">
        <v>255</v>
      </c>
      <c r="K357" s="1" t="n">
        <v>9</v>
      </c>
    </row>
    <row r="358" customFormat="false" ht="14.25" hidden="true" customHeight="false" outlineLevel="0" collapsed="false">
      <c r="A358" s="1" t="n">
        <v>26</v>
      </c>
      <c r="B358" s="1" t="s">
        <v>135</v>
      </c>
      <c r="C358" s="1" t="s">
        <v>252</v>
      </c>
      <c r="D358" s="23" t="s">
        <v>253</v>
      </c>
      <c r="E358" s="1" t="s">
        <v>254</v>
      </c>
      <c r="F358" s="1" t="s">
        <v>138</v>
      </c>
      <c r="G358" s="21" t="n">
        <f aca="false">K358/3.1416</f>
        <v>2.54647313470843</v>
      </c>
      <c r="H358" s="1" t="n">
        <v>3</v>
      </c>
      <c r="I358" s="1" t="s">
        <v>129</v>
      </c>
      <c r="J358" s="1" t="s">
        <v>255</v>
      </c>
      <c r="K358" s="1" t="n">
        <v>8</v>
      </c>
    </row>
    <row r="359" customFormat="false" ht="14.25" hidden="true" customHeight="false" outlineLevel="0" collapsed="false">
      <c r="A359" s="1" t="n">
        <v>26</v>
      </c>
      <c r="B359" s="1" t="s">
        <v>135</v>
      </c>
      <c r="C359" s="1" t="s">
        <v>252</v>
      </c>
      <c r="D359" s="23" t="s">
        <v>253</v>
      </c>
      <c r="E359" s="1" t="s">
        <v>254</v>
      </c>
      <c r="F359" s="1" t="s">
        <v>138</v>
      </c>
      <c r="G359" s="21" t="n">
        <f aca="false">K359/3.1416</f>
        <v>3.18309141838554</v>
      </c>
      <c r="H359" s="1" t="n">
        <v>6</v>
      </c>
      <c r="I359" s="1" t="s">
        <v>129</v>
      </c>
      <c r="J359" s="1" t="s">
        <v>255</v>
      </c>
      <c r="K359" s="1" t="n">
        <v>10</v>
      </c>
    </row>
    <row r="360" customFormat="false" ht="14.25" hidden="true" customHeight="false" outlineLevel="0" collapsed="false">
      <c r="A360" s="1" t="n">
        <v>26</v>
      </c>
      <c r="B360" s="1" t="s">
        <v>135</v>
      </c>
      <c r="C360" s="1" t="s">
        <v>252</v>
      </c>
      <c r="D360" s="23" t="s">
        <v>253</v>
      </c>
      <c r="E360" s="1" t="s">
        <v>254</v>
      </c>
      <c r="F360" s="1" t="s">
        <v>138</v>
      </c>
      <c r="G360" s="21" t="n">
        <f aca="false">K360/3.1416</f>
        <v>2.86478227654698</v>
      </c>
      <c r="H360" s="1" t="n">
        <v>5</v>
      </c>
      <c r="I360" s="1" t="s">
        <v>129</v>
      </c>
      <c r="J360" s="1" t="s">
        <v>255</v>
      </c>
      <c r="K360" s="1" t="n">
        <v>9</v>
      </c>
    </row>
    <row r="361" customFormat="false" ht="14.25" hidden="true" customHeight="false" outlineLevel="0" collapsed="false">
      <c r="A361" s="1" t="n">
        <v>26</v>
      </c>
      <c r="B361" s="1" t="s">
        <v>135</v>
      </c>
      <c r="C361" s="1" t="s">
        <v>252</v>
      </c>
      <c r="D361" s="23" t="s">
        <v>253</v>
      </c>
      <c r="E361" s="1" t="s">
        <v>254</v>
      </c>
      <c r="F361" s="1" t="s">
        <v>138</v>
      </c>
      <c r="G361" s="21" t="n">
        <f aca="false">K361/3.1416</f>
        <v>3.18309141838554</v>
      </c>
      <c r="H361" s="1" t="n">
        <v>5</v>
      </c>
      <c r="I361" s="1" t="s">
        <v>129</v>
      </c>
      <c r="J361" s="1" t="s">
        <v>255</v>
      </c>
      <c r="K361" s="1" t="n">
        <v>10</v>
      </c>
    </row>
    <row r="362" customFormat="false" ht="14.25" hidden="true" customHeight="false" outlineLevel="0" collapsed="false">
      <c r="A362" s="1" t="n">
        <v>26</v>
      </c>
      <c r="B362" s="1" t="s">
        <v>135</v>
      </c>
      <c r="C362" s="1" t="s">
        <v>252</v>
      </c>
      <c r="D362" s="23" t="s">
        <v>253</v>
      </c>
      <c r="E362" s="1" t="s">
        <v>254</v>
      </c>
      <c r="F362" s="1" t="s">
        <v>138</v>
      </c>
      <c r="G362" s="21" t="n">
        <f aca="false">K362/3.1416</f>
        <v>2.54647313470843</v>
      </c>
      <c r="H362" s="1" t="n">
        <v>4</v>
      </c>
      <c r="I362" s="1" t="s">
        <v>129</v>
      </c>
      <c r="J362" s="1" t="s">
        <v>255</v>
      </c>
      <c r="K362" s="1" t="n">
        <v>8</v>
      </c>
    </row>
    <row r="363" customFormat="false" ht="14.25" hidden="true" customHeight="false" outlineLevel="0" collapsed="false">
      <c r="A363" s="1" t="n">
        <v>26</v>
      </c>
      <c r="B363" s="1" t="s">
        <v>135</v>
      </c>
      <c r="C363" s="1" t="s">
        <v>252</v>
      </c>
      <c r="D363" s="23" t="s">
        <v>253</v>
      </c>
      <c r="E363" s="1" t="s">
        <v>254</v>
      </c>
      <c r="F363" s="1" t="s">
        <v>138</v>
      </c>
      <c r="G363" s="21" t="n">
        <f aca="false">K363/3.1416</f>
        <v>2.54647313470843</v>
      </c>
      <c r="H363" s="1" t="n">
        <v>4</v>
      </c>
      <c r="I363" s="1" t="s">
        <v>129</v>
      </c>
      <c r="J363" s="1" t="s">
        <v>255</v>
      </c>
      <c r="K363" s="1" t="n">
        <v>8</v>
      </c>
    </row>
    <row r="364" customFormat="false" ht="14.25" hidden="true" customHeight="false" outlineLevel="0" collapsed="false">
      <c r="A364" s="1" t="n">
        <v>27</v>
      </c>
      <c r="B364" s="1" t="s">
        <v>82</v>
      </c>
      <c r="C364" s="1" t="s">
        <v>252</v>
      </c>
      <c r="D364" s="23" t="s">
        <v>253</v>
      </c>
      <c r="E364" s="1" t="s">
        <v>254</v>
      </c>
      <c r="F364" s="1" t="s">
        <v>138</v>
      </c>
      <c r="G364" s="21" t="n">
        <f aca="false">K364/3.1416</f>
        <v>2.54647313470843</v>
      </c>
      <c r="H364" s="1" t="n">
        <v>4</v>
      </c>
      <c r="I364" s="1" t="s">
        <v>129</v>
      </c>
      <c r="J364" s="1" t="s">
        <v>255</v>
      </c>
      <c r="K364" s="1" t="n">
        <v>8</v>
      </c>
    </row>
    <row r="365" customFormat="false" ht="14.25" hidden="true" customHeight="false" outlineLevel="0" collapsed="false">
      <c r="A365" s="1" t="n">
        <v>27</v>
      </c>
      <c r="B365" s="1" t="s">
        <v>82</v>
      </c>
      <c r="C365" s="1" t="s">
        <v>252</v>
      </c>
      <c r="D365" s="23" t="s">
        <v>253</v>
      </c>
      <c r="E365" s="1" t="s">
        <v>254</v>
      </c>
      <c r="F365" s="1" t="s">
        <v>138</v>
      </c>
      <c r="G365" s="21" t="n">
        <f aca="false">K365/3.1416</f>
        <v>3.18309141838554</v>
      </c>
      <c r="H365" s="1" t="n">
        <v>6</v>
      </c>
      <c r="I365" s="1" t="s">
        <v>129</v>
      </c>
      <c r="J365" s="1" t="s">
        <v>255</v>
      </c>
      <c r="K365" s="1" t="n">
        <v>10</v>
      </c>
    </row>
    <row r="366" customFormat="false" ht="14.25" hidden="true" customHeight="false" outlineLevel="0" collapsed="false">
      <c r="A366" s="1" t="n">
        <v>27</v>
      </c>
      <c r="B366" s="1" t="s">
        <v>82</v>
      </c>
      <c r="C366" s="1" t="s">
        <v>252</v>
      </c>
      <c r="D366" s="23" t="s">
        <v>253</v>
      </c>
      <c r="E366" s="1" t="s">
        <v>254</v>
      </c>
      <c r="F366" s="1" t="s">
        <v>138</v>
      </c>
      <c r="G366" s="21" t="n">
        <f aca="false">K366/3.1416</f>
        <v>2.54647313470843</v>
      </c>
      <c r="H366" s="1" t="n">
        <v>3</v>
      </c>
      <c r="I366" s="1" t="s">
        <v>129</v>
      </c>
      <c r="J366" s="1" t="s">
        <v>255</v>
      </c>
      <c r="K366" s="1" t="n">
        <v>8</v>
      </c>
    </row>
    <row r="367" customFormat="false" ht="14.25" hidden="true" customHeight="false" outlineLevel="0" collapsed="false">
      <c r="A367" s="1" t="n">
        <v>27</v>
      </c>
      <c r="B367" s="1" t="s">
        <v>82</v>
      </c>
      <c r="C367" s="1" t="s">
        <v>252</v>
      </c>
      <c r="D367" s="23" t="s">
        <v>253</v>
      </c>
      <c r="E367" s="1" t="s">
        <v>254</v>
      </c>
      <c r="F367" s="1" t="s">
        <v>138</v>
      </c>
      <c r="G367" s="21" t="n">
        <f aca="false">K367/3.1416</f>
        <v>8.27603768780239</v>
      </c>
      <c r="H367" s="1" t="n">
        <v>6</v>
      </c>
      <c r="I367" s="1" t="s">
        <v>129</v>
      </c>
      <c r="J367" s="1" t="s">
        <v>255</v>
      </c>
      <c r="K367" s="1" t="n">
        <v>26</v>
      </c>
    </row>
    <row r="368" customFormat="false" ht="14.25" hidden="true" customHeight="false" outlineLevel="0" collapsed="false">
      <c r="A368" s="1" t="n">
        <v>28</v>
      </c>
      <c r="B368" s="1" t="s">
        <v>82</v>
      </c>
      <c r="C368" s="1" t="s">
        <v>252</v>
      </c>
      <c r="D368" s="23" t="s">
        <v>253</v>
      </c>
      <c r="E368" s="1" t="s">
        <v>254</v>
      </c>
      <c r="F368" s="1" t="s">
        <v>138</v>
      </c>
      <c r="G368" s="21" t="n">
        <f aca="false">K368/3.1416</f>
        <v>2.54647313470843</v>
      </c>
      <c r="H368" s="1" t="n">
        <v>4</v>
      </c>
      <c r="I368" s="1" t="s">
        <v>129</v>
      </c>
      <c r="J368" s="1" t="s">
        <v>255</v>
      </c>
      <c r="K368" s="1" t="n">
        <v>8</v>
      </c>
    </row>
    <row r="369" customFormat="false" ht="14.25" hidden="true" customHeight="false" outlineLevel="0" collapsed="false">
      <c r="A369" s="1" t="n">
        <v>29</v>
      </c>
      <c r="B369" s="1" t="s">
        <v>131</v>
      </c>
      <c r="C369" s="1" t="s">
        <v>252</v>
      </c>
      <c r="D369" s="23" t="s">
        <v>253</v>
      </c>
      <c r="E369" s="1" t="s">
        <v>254</v>
      </c>
      <c r="F369" s="1" t="s">
        <v>138</v>
      </c>
      <c r="G369" s="21" t="n">
        <f aca="false">K369/3.1416</f>
        <v>6.04787369493252</v>
      </c>
      <c r="H369" s="1" t="n">
        <v>7</v>
      </c>
      <c r="I369" s="1" t="s">
        <v>129</v>
      </c>
      <c r="J369" s="1" t="s">
        <v>255</v>
      </c>
      <c r="K369" s="1" t="n">
        <v>19</v>
      </c>
    </row>
    <row r="370" customFormat="false" ht="14.25" hidden="true" customHeight="false" outlineLevel="0" collapsed="false">
      <c r="A370" s="1" t="n">
        <v>29</v>
      </c>
      <c r="B370" s="1" t="s">
        <v>131</v>
      </c>
      <c r="C370" s="1" t="s">
        <v>252</v>
      </c>
      <c r="D370" s="23" t="s">
        <v>253</v>
      </c>
      <c r="E370" s="1" t="s">
        <v>254</v>
      </c>
      <c r="F370" s="1" t="s">
        <v>138</v>
      </c>
      <c r="G370" s="21" t="n">
        <f aca="false">K370/3.1416</f>
        <v>2.54647313470843</v>
      </c>
      <c r="H370" s="1" t="n">
        <v>5</v>
      </c>
      <c r="I370" s="1" t="s">
        <v>129</v>
      </c>
      <c r="J370" s="1" t="s">
        <v>255</v>
      </c>
      <c r="K370" s="1" t="n">
        <v>8</v>
      </c>
    </row>
    <row r="371" customFormat="false" ht="14.25" hidden="true" customHeight="false" outlineLevel="0" collapsed="false">
      <c r="A371" s="1" t="n">
        <v>29</v>
      </c>
      <c r="B371" s="1" t="s">
        <v>131</v>
      </c>
      <c r="C371" s="1" t="s">
        <v>252</v>
      </c>
      <c r="D371" s="23" t="s">
        <v>253</v>
      </c>
      <c r="E371" s="1" t="s">
        <v>254</v>
      </c>
      <c r="F371" s="1" t="s">
        <v>138</v>
      </c>
      <c r="G371" s="21" t="n">
        <f aca="false">K371/3.1416</f>
        <v>4.1380188439012</v>
      </c>
      <c r="H371" s="1" t="n">
        <v>7</v>
      </c>
      <c r="I371" s="1" t="s">
        <v>129</v>
      </c>
      <c r="J371" s="1" t="s">
        <v>255</v>
      </c>
      <c r="K371" s="1" t="n">
        <v>13</v>
      </c>
    </row>
    <row r="372" customFormat="false" ht="14.25" hidden="true" customHeight="false" outlineLevel="0" collapsed="false">
      <c r="A372" s="1" t="n">
        <v>29</v>
      </c>
      <c r="B372" s="1" t="s">
        <v>131</v>
      </c>
      <c r="C372" s="1" t="s">
        <v>252</v>
      </c>
      <c r="D372" s="23" t="s">
        <v>253</v>
      </c>
      <c r="E372" s="1" t="s">
        <v>254</v>
      </c>
      <c r="F372" s="1" t="s">
        <v>138</v>
      </c>
      <c r="G372" s="21" t="n">
        <f aca="false">K372/3.1416</f>
        <v>2.54647313470843</v>
      </c>
      <c r="H372" s="1" t="n">
        <v>5</v>
      </c>
      <c r="I372" s="1" t="s">
        <v>129</v>
      </c>
      <c r="J372" s="1" t="s">
        <v>255</v>
      </c>
      <c r="K372" s="1" t="n">
        <v>8</v>
      </c>
    </row>
    <row r="373" customFormat="false" ht="14.25" hidden="true" customHeight="false" outlineLevel="0" collapsed="false">
      <c r="A373" s="1" t="n">
        <v>29</v>
      </c>
      <c r="B373" s="1" t="s">
        <v>131</v>
      </c>
      <c r="C373" s="1" t="s">
        <v>252</v>
      </c>
      <c r="D373" s="23" t="s">
        <v>253</v>
      </c>
      <c r="E373" s="1" t="s">
        <v>254</v>
      </c>
      <c r="F373" s="1" t="s">
        <v>138</v>
      </c>
      <c r="G373" s="21" t="n">
        <f aca="false">K373/3.1416</f>
        <v>4.1380188439012</v>
      </c>
      <c r="H373" s="1" t="n">
        <v>7</v>
      </c>
      <c r="I373" s="1" t="s">
        <v>129</v>
      </c>
      <c r="J373" s="1" t="s">
        <v>255</v>
      </c>
      <c r="K373" s="1" t="n">
        <v>13</v>
      </c>
    </row>
    <row r="374" customFormat="false" ht="14.25" hidden="true" customHeight="false" outlineLevel="0" collapsed="false">
      <c r="A374" s="1" t="n">
        <v>29</v>
      </c>
      <c r="B374" s="1" t="s">
        <v>131</v>
      </c>
      <c r="C374" s="1" t="s">
        <v>252</v>
      </c>
      <c r="D374" s="23" t="s">
        <v>253</v>
      </c>
      <c r="E374" s="1" t="s">
        <v>254</v>
      </c>
      <c r="F374" s="1" t="s">
        <v>138</v>
      </c>
      <c r="G374" s="21" t="n">
        <f aca="false">K374/3.1416</f>
        <v>2.54647313470843</v>
      </c>
      <c r="H374" s="1" t="n">
        <v>5</v>
      </c>
      <c r="I374" s="1" t="s">
        <v>129</v>
      </c>
      <c r="J374" s="1" t="s">
        <v>255</v>
      </c>
      <c r="K374" s="1" t="n">
        <v>8</v>
      </c>
    </row>
    <row r="375" customFormat="false" ht="14.25" hidden="true" customHeight="false" outlineLevel="0" collapsed="false">
      <c r="A375" s="1" t="n">
        <v>29</v>
      </c>
      <c r="B375" s="1" t="s">
        <v>131</v>
      </c>
      <c r="C375" s="1" t="s">
        <v>252</v>
      </c>
      <c r="D375" s="23" t="s">
        <v>253</v>
      </c>
      <c r="E375" s="1" t="s">
        <v>254</v>
      </c>
      <c r="F375" s="1" t="s">
        <v>138</v>
      </c>
      <c r="G375" s="21" t="n">
        <f aca="false">K375/3.1416</f>
        <v>3.18309141838554</v>
      </c>
      <c r="H375" s="1" t="n">
        <v>5</v>
      </c>
      <c r="I375" s="1" t="s">
        <v>129</v>
      </c>
      <c r="J375" s="1" t="s">
        <v>255</v>
      </c>
      <c r="K375" s="1" t="n">
        <v>10</v>
      </c>
    </row>
    <row r="376" customFormat="false" ht="14.25" hidden="true" customHeight="false" outlineLevel="0" collapsed="false">
      <c r="A376" s="1" t="n">
        <v>29</v>
      </c>
      <c r="B376" s="1" t="s">
        <v>131</v>
      </c>
      <c r="C376" s="1" t="s">
        <v>252</v>
      </c>
      <c r="D376" s="23" t="s">
        <v>253</v>
      </c>
      <c r="E376" s="1" t="s">
        <v>254</v>
      </c>
      <c r="F376" s="1" t="s">
        <v>138</v>
      </c>
      <c r="G376" s="21" t="n">
        <f aca="false">K376/3.1416</f>
        <v>3.50140056022409</v>
      </c>
      <c r="H376" s="1" t="n">
        <v>6</v>
      </c>
      <c r="I376" s="1" t="s">
        <v>129</v>
      </c>
      <c r="J376" s="1" t="s">
        <v>255</v>
      </c>
      <c r="K376" s="1" t="n">
        <v>11</v>
      </c>
    </row>
    <row r="377" customFormat="false" ht="14.25" hidden="true" customHeight="false" outlineLevel="0" collapsed="false">
      <c r="A377" s="1" t="n">
        <v>29</v>
      </c>
      <c r="B377" s="1" t="s">
        <v>131</v>
      </c>
      <c r="C377" s="1" t="s">
        <v>252</v>
      </c>
      <c r="D377" s="23" t="s">
        <v>253</v>
      </c>
      <c r="E377" s="1" t="s">
        <v>254</v>
      </c>
      <c r="F377" s="1" t="s">
        <v>138</v>
      </c>
      <c r="G377" s="21" t="n">
        <f aca="false">K377/3.1416</f>
        <v>2.54647313470843</v>
      </c>
      <c r="H377" s="1" t="n">
        <v>5</v>
      </c>
      <c r="I377" s="1" t="s">
        <v>129</v>
      </c>
      <c r="J377" s="1" t="s">
        <v>255</v>
      </c>
      <c r="K377" s="1" t="n">
        <v>8</v>
      </c>
    </row>
    <row r="378" customFormat="false" ht="14.25" hidden="true" customHeight="false" outlineLevel="0" collapsed="false">
      <c r="A378" s="1" t="n">
        <v>29</v>
      </c>
      <c r="B378" s="1" t="s">
        <v>131</v>
      </c>
      <c r="C378" s="1" t="s">
        <v>252</v>
      </c>
      <c r="D378" s="23" t="s">
        <v>253</v>
      </c>
      <c r="E378" s="1" t="s">
        <v>254</v>
      </c>
      <c r="F378" s="1" t="s">
        <v>138</v>
      </c>
      <c r="G378" s="21" t="n">
        <f aca="false">K378/3.1416</f>
        <v>2.54647313470843</v>
      </c>
      <c r="H378" s="1" t="n">
        <v>4</v>
      </c>
      <c r="I378" s="1" t="s">
        <v>129</v>
      </c>
      <c r="J378" s="1" t="s">
        <v>255</v>
      </c>
      <c r="K378" s="1" t="n">
        <v>8</v>
      </c>
    </row>
    <row r="379" customFormat="false" ht="14.25" hidden="true" customHeight="false" outlineLevel="0" collapsed="false">
      <c r="A379" s="1" t="n">
        <v>29</v>
      </c>
      <c r="B379" s="1" t="s">
        <v>131</v>
      </c>
      <c r="C379" s="1" t="s">
        <v>252</v>
      </c>
      <c r="D379" s="23" t="s">
        <v>253</v>
      </c>
      <c r="E379" s="1" t="s">
        <v>254</v>
      </c>
      <c r="F379" s="1" t="s">
        <v>138</v>
      </c>
      <c r="G379" s="21" t="n">
        <f aca="false">K379/3.1416</f>
        <v>3.81970970206264</v>
      </c>
      <c r="H379" s="1" t="n">
        <v>7</v>
      </c>
      <c r="I379" s="1" t="s">
        <v>129</v>
      </c>
      <c r="J379" s="1" t="s">
        <v>255</v>
      </c>
      <c r="K379" s="1" t="n">
        <v>12</v>
      </c>
    </row>
    <row r="380" customFormat="false" ht="14.25" hidden="true" customHeight="false" outlineLevel="0" collapsed="false">
      <c r="A380" s="1" t="n">
        <v>29</v>
      </c>
      <c r="B380" s="1" t="s">
        <v>131</v>
      </c>
      <c r="C380" s="1" t="s">
        <v>252</v>
      </c>
      <c r="D380" s="23" t="s">
        <v>253</v>
      </c>
      <c r="E380" s="1" t="s">
        <v>254</v>
      </c>
      <c r="F380" s="1" t="s">
        <v>138</v>
      </c>
      <c r="G380" s="21" t="n">
        <f aca="false">K380/3.1416</f>
        <v>2.54647313470843</v>
      </c>
      <c r="H380" s="1" t="n">
        <v>4</v>
      </c>
      <c r="I380" s="1" t="s">
        <v>129</v>
      </c>
      <c r="J380" s="1" t="s">
        <v>255</v>
      </c>
      <c r="K380" s="1" t="n">
        <v>8</v>
      </c>
    </row>
    <row r="381" customFormat="false" ht="14.25" hidden="true" customHeight="false" outlineLevel="0" collapsed="false">
      <c r="A381" s="1" t="n">
        <v>30</v>
      </c>
      <c r="B381" s="1" t="s">
        <v>131</v>
      </c>
      <c r="C381" s="1" t="s">
        <v>252</v>
      </c>
      <c r="D381" s="23" t="s">
        <v>253</v>
      </c>
      <c r="E381" s="1" t="s">
        <v>254</v>
      </c>
      <c r="F381" s="1" t="s">
        <v>138</v>
      </c>
      <c r="G381" s="21" t="n">
        <f aca="false">K381/3.1416</f>
        <v>2.86478227654698</v>
      </c>
      <c r="H381" s="1" t="n">
        <v>6</v>
      </c>
      <c r="I381" s="1" t="s">
        <v>129</v>
      </c>
      <c r="J381" s="1" t="s">
        <v>255</v>
      </c>
      <c r="K381" s="1" t="n">
        <v>9</v>
      </c>
    </row>
    <row r="382" customFormat="false" ht="14.25" hidden="true" customHeight="false" outlineLevel="0" collapsed="false">
      <c r="A382" s="1" t="n">
        <v>30</v>
      </c>
      <c r="B382" s="1" t="s">
        <v>131</v>
      </c>
      <c r="C382" s="1" t="s">
        <v>252</v>
      </c>
      <c r="D382" s="23" t="s">
        <v>253</v>
      </c>
      <c r="E382" s="1" t="s">
        <v>254</v>
      </c>
      <c r="F382" s="1" t="s">
        <v>138</v>
      </c>
      <c r="G382" s="21" t="n">
        <f aca="false">K382/3.1416</f>
        <v>5.41125541125541</v>
      </c>
      <c r="H382" s="1" t="n">
        <v>8</v>
      </c>
      <c r="I382" s="1" t="s">
        <v>129</v>
      </c>
      <c r="J382" s="1" t="s">
        <v>255</v>
      </c>
      <c r="K382" s="1" t="n">
        <v>17</v>
      </c>
    </row>
    <row r="383" customFormat="false" ht="14.25" hidden="true" customHeight="false" outlineLevel="0" collapsed="false">
      <c r="A383" s="1" t="n">
        <v>30</v>
      </c>
      <c r="B383" s="1" t="s">
        <v>131</v>
      </c>
      <c r="C383" s="1" t="s">
        <v>252</v>
      </c>
      <c r="D383" s="23" t="s">
        <v>253</v>
      </c>
      <c r="E383" s="1" t="s">
        <v>254</v>
      </c>
      <c r="F383" s="1" t="s">
        <v>138</v>
      </c>
      <c r="G383" s="21" t="n">
        <f aca="false">K383/3.1416</f>
        <v>2.54647313470843</v>
      </c>
      <c r="H383" s="1" t="n">
        <v>3</v>
      </c>
      <c r="I383" s="1" t="s">
        <v>129</v>
      </c>
      <c r="J383" s="1" t="s">
        <v>255</v>
      </c>
      <c r="K383" s="1" t="n">
        <v>8</v>
      </c>
    </row>
    <row r="384" customFormat="false" ht="14.25" hidden="true" customHeight="false" outlineLevel="0" collapsed="false">
      <c r="A384" s="1" t="n">
        <v>30</v>
      </c>
      <c r="B384" s="1" t="s">
        <v>131</v>
      </c>
      <c r="C384" s="1" t="s">
        <v>252</v>
      </c>
      <c r="D384" s="23" t="s">
        <v>253</v>
      </c>
      <c r="E384" s="1" t="s">
        <v>254</v>
      </c>
      <c r="F384" s="1" t="s">
        <v>138</v>
      </c>
      <c r="G384" s="21" t="n">
        <f aca="false">K384/3.1416</f>
        <v>7.00280112044818</v>
      </c>
      <c r="H384" s="1" t="n">
        <v>8</v>
      </c>
      <c r="I384" s="1" t="s">
        <v>129</v>
      </c>
      <c r="J384" s="1" t="s">
        <v>255</v>
      </c>
      <c r="K384" s="1" t="n">
        <v>22</v>
      </c>
    </row>
    <row r="385" customFormat="false" ht="14.25" hidden="true" customHeight="false" outlineLevel="0" collapsed="false">
      <c r="A385" s="1" t="n">
        <v>30</v>
      </c>
      <c r="B385" s="1" t="s">
        <v>131</v>
      </c>
      <c r="C385" s="1" t="s">
        <v>252</v>
      </c>
      <c r="D385" s="23" t="s">
        <v>253</v>
      </c>
      <c r="E385" s="1" t="s">
        <v>254</v>
      </c>
      <c r="F385" s="1" t="s">
        <v>138</v>
      </c>
      <c r="G385" s="21" t="n">
        <f aca="false">K385/3.1416</f>
        <v>2.54647313470843</v>
      </c>
      <c r="H385" s="1" t="n">
        <v>6</v>
      </c>
      <c r="I385" s="1" t="s">
        <v>129</v>
      </c>
      <c r="J385" s="1" t="s">
        <v>255</v>
      </c>
      <c r="K385" s="1" t="n">
        <v>8</v>
      </c>
    </row>
    <row r="386" customFormat="false" ht="14.25" hidden="true" customHeight="false" outlineLevel="0" collapsed="false">
      <c r="A386" s="1" t="n">
        <v>30</v>
      </c>
      <c r="B386" s="1" t="s">
        <v>131</v>
      </c>
      <c r="C386" s="1" t="s">
        <v>252</v>
      </c>
      <c r="D386" s="23" t="s">
        <v>253</v>
      </c>
      <c r="E386" s="1" t="s">
        <v>254</v>
      </c>
      <c r="F386" s="1" t="s">
        <v>138</v>
      </c>
      <c r="G386" s="21" t="n">
        <f aca="false">K386/3.1416</f>
        <v>2.54647313470843</v>
      </c>
      <c r="H386" s="1" t="n">
        <v>6</v>
      </c>
      <c r="I386" s="1" t="s">
        <v>129</v>
      </c>
      <c r="J386" s="1" t="s">
        <v>255</v>
      </c>
      <c r="K386" s="1" t="n">
        <v>8</v>
      </c>
    </row>
    <row r="387" customFormat="false" ht="14.25" hidden="true" customHeight="false" outlineLevel="0" collapsed="false">
      <c r="A387" s="1" t="n">
        <v>30</v>
      </c>
      <c r="B387" s="1" t="s">
        <v>131</v>
      </c>
      <c r="C387" s="1" t="s">
        <v>252</v>
      </c>
      <c r="D387" s="23" t="s">
        <v>253</v>
      </c>
      <c r="E387" s="1" t="s">
        <v>254</v>
      </c>
      <c r="F387" s="1" t="s">
        <v>138</v>
      </c>
      <c r="G387" s="21" t="n">
        <f aca="false">K387/3.1416</f>
        <v>3.50140056022409</v>
      </c>
      <c r="H387" s="1" t="n">
        <v>6</v>
      </c>
      <c r="I387" s="1" t="s">
        <v>129</v>
      </c>
      <c r="J387" s="1" t="s">
        <v>255</v>
      </c>
      <c r="K387" s="1" t="n">
        <v>11</v>
      </c>
    </row>
    <row r="388" customFormat="false" ht="14.25" hidden="true" customHeight="false" outlineLevel="0" collapsed="false">
      <c r="A388" s="1" t="n">
        <v>30</v>
      </c>
      <c r="B388" s="1" t="s">
        <v>131</v>
      </c>
      <c r="C388" s="1" t="s">
        <v>252</v>
      </c>
      <c r="D388" s="23" t="s">
        <v>253</v>
      </c>
      <c r="E388" s="1" t="s">
        <v>254</v>
      </c>
      <c r="F388" s="1" t="s">
        <v>138</v>
      </c>
      <c r="G388" s="21" t="n">
        <f aca="false">K388/3.1416</f>
        <v>3.81970970206264</v>
      </c>
      <c r="H388" s="1" t="n">
        <v>6</v>
      </c>
      <c r="I388" s="1" t="s">
        <v>129</v>
      </c>
      <c r="J388" s="1" t="s">
        <v>255</v>
      </c>
      <c r="K388" s="1" t="n">
        <v>12</v>
      </c>
    </row>
    <row r="389" customFormat="false" ht="14.25" hidden="true" customHeight="false" outlineLevel="0" collapsed="false">
      <c r="A389" s="1" t="n">
        <v>30</v>
      </c>
      <c r="B389" s="1" t="s">
        <v>131</v>
      </c>
      <c r="C389" s="1" t="s">
        <v>252</v>
      </c>
      <c r="D389" s="23" t="s">
        <v>253</v>
      </c>
      <c r="E389" s="1" t="s">
        <v>254</v>
      </c>
      <c r="F389" s="1" t="s">
        <v>138</v>
      </c>
      <c r="G389" s="21" t="n">
        <f aca="false">K389/3.1416</f>
        <v>6.36618283677107</v>
      </c>
      <c r="H389" s="1" t="n">
        <v>6</v>
      </c>
      <c r="I389" s="1" t="s">
        <v>129</v>
      </c>
      <c r="J389" s="1" t="s">
        <v>255</v>
      </c>
      <c r="K389" s="1" t="n">
        <v>20</v>
      </c>
    </row>
    <row r="390" customFormat="false" ht="14.25" hidden="true" customHeight="false" outlineLevel="0" collapsed="false">
      <c r="A390" s="1" t="n">
        <v>30</v>
      </c>
      <c r="B390" s="1" t="s">
        <v>131</v>
      </c>
      <c r="C390" s="1" t="s">
        <v>252</v>
      </c>
      <c r="D390" s="23" t="s">
        <v>253</v>
      </c>
      <c r="E390" s="1" t="s">
        <v>254</v>
      </c>
      <c r="F390" s="1" t="s">
        <v>138</v>
      </c>
      <c r="G390" s="21" t="n">
        <f aca="false">K390/3.1416</f>
        <v>2.54647313470843</v>
      </c>
      <c r="H390" s="1" t="n">
        <v>4</v>
      </c>
      <c r="I390" s="1" t="s">
        <v>129</v>
      </c>
      <c r="J390" s="1" t="s">
        <v>255</v>
      </c>
      <c r="K390" s="1" t="n">
        <v>8</v>
      </c>
    </row>
    <row r="391" customFormat="false" ht="14.25" hidden="true" customHeight="false" outlineLevel="0" collapsed="false">
      <c r="A391" s="1" t="n">
        <v>30</v>
      </c>
      <c r="B391" s="1" t="s">
        <v>131</v>
      </c>
      <c r="C391" s="1" t="s">
        <v>252</v>
      </c>
      <c r="D391" s="23" t="s">
        <v>253</v>
      </c>
      <c r="E391" s="1" t="s">
        <v>254</v>
      </c>
      <c r="F391" s="1" t="s">
        <v>138</v>
      </c>
      <c r="G391" s="21" t="n">
        <f aca="false">K391/3.1416</f>
        <v>2.54647313470843</v>
      </c>
      <c r="H391" s="1" t="n">
        <v>3</v>
      </c>
      <c r="I391" s="1" t="s">
        <v>129</v>
      </c>
      <c r="J391" s="1" t="s">
        <v>255</v>
      </c>
      <c r="K391" s="1" t="n">
        <v>8</v>
      </c>
    </row>
    <row r="392" customFormat="false" ht="14.25" hidden="true" customHeight="false" outlineLevel="0" collapsed="false">
      <c r="A392" s="1" t="n">
        <v>30</v>
      </c>
      <c r="B392" s="1" t="s">
        <v>131</v>
      </c>
      <c r="C392" s="1" t="s">
        <v>252</v>
      </c>
      <c r="D392" s="23" t="s">
        <v>253</v>
      </c>
      <c r="E392" s="1" t="s">
        <v>254</v>
      </c>
      <c r="F392" s="1" t="s">
        <v>138</v>
      </c>
      <c r="G392" s="21" t="n">
        <f aca="false">K392/3.1416</f>
        <v>3.18309141838554</v>
      </c>
      <c r="H392" s="1" t="n">
        <v>6</v>
      </c>
      <c r="I392" s="1" t="s">
        <v>129</v>
      </c>
      <c r="J392" s="1" t="s">
        <v>255</v>
      </c>
      <c r="K392" s="1" t="n">
        <v>10</v>
      </c>
    </row>
    <row r="393" customFormat="false" ht="14.25" hidden="true" customHeight="false" outlineLevel="0" collapsed="false">
      <c r="A393" s="1" t="n">
        <v>30</v>
      </c>
      <c r="B393" s="1" t="s">
        <v>131</v>
      </c>
      <c r="C393" s="1" t="s">
        <v>252</v>
      </c>
      <c r="D393" s="23" t="s">
        <v>253</v>
      </c>
      <c r="E393" s="1" t="s">
        <v>254</v>
      </c>
      <c r="F393" s="1" t="s">
        <v>138</v>
      </c>
      <c r="G393" s="21" t="n">
        <f aca="false">K393/3.1416</f>
        <v>2.54647313470843</v>
      </c>
      <c r="H393" s="1" t="n">
        <v>4</v>
      </c>
      <c r="I393" s="1" t="s">
        <v>129</v>
      </c>
      <c r="J393" s="1" t="s">
        <v>255</v>
      </c>
      <c r="K393" s="1" t="n">
        <v>8</v>
      </c>
    </row>
    <row r="394" customFormat="false" ht="14.25" hidden="true" customHeight="false" outlineLevel="0" collapsed="false">
      <c r="A394" s="1" t="n">
        <v>30</v>
      </c>
      <c r="B394" s="1" t="s">
        <v>131</v>
      </c>
      <c r="C394" s="1" t="s">
        <v>252</v>
      </c>
      <c r="D394" s="23" t="s">
        <v>253</v>
      </c>
      <c r="E394" s="1" t="s">
        <v>254</v>
      </c>
      <c r="F394" s="1" t="s">
        <v>138</v>
      </c>
      <c r="G394" s="21" t="n">
        <f aca="false">K394/3.1416</f>
        <v>3.81970970206264</v>
      </c>
      <c r="H394" s="1" t="n">
        <v>6</v>
      </c>
      <c r="I394" s="1" t="s">
        <v>129</v>
      </c>
      <c r="J394" s="1" t="s">
        <v>255</v>
      </c>
      <c r="K394" s="1" t="n">
        <v>12</v>
      </c>
    </row>
    <row r="395" customFormat="false" ht="14.25" hidden="true" customHeight="false" outlineLevel="0" collapsed="false">
      <c r="A395" s="1" t="n">
        <v>30</v>
      </c>
      <c r="B395" s="1" t="s">
        <v>131</v>
      </c>
      <c r="C395" s="1" t="s">
        <v>252</v>
      </c>
      <c r="D395" s="23" t="s">
        <v>253</v>
      </c>
      <c r="E395" s="1" t="s">
        <v>254</v>
      </c>
      <c r="F395" s="1" t="s">
        <v>138</v>
      </c>
      <c r="G395" s="21" t="n">
        <f aca="false">K395/3.1416</f>
        <v>2.54647313470843</v>
      </c>
      <c r="H395" s="1" t="n">
        <v>4</v>
      </c>
      <c r="I395" s="1" t="s">
        <v>129</v>
      </c>
      <c r="J395" s="1" t="s">
        <v>255</v>
      </c>
      <c r="K395" s="1" t="n">
        <v>8</v>
      </c>
    </row>
    <row r="396" customFormat="false" ht="14.25" hidden="true" customHeight="false" outlineLevel="0" collapsed="false">
      <c r="A396" s="1" t="n">
        <v>31</v>
      </c>
      <c r="B396" s="1" t="s">
        <v>131</v>
      </c>
      <c r="C396" s="1" t="s">
        <v>252</v>
      </c>
      <c r="D396" s="23" t="s">
        <v>253</v>
      </c>
      <c r="E396" s="1" t="s">
        <v>254</v>
      </c>
      <c r="F396" s="1" t="s">
        <v>138</v>
      </c>
      <c r="G396" s="21" t="n">
        <f aca="false">K396/3.1416</f>
        <v>6.04787369493252</v>
      </c>
      <c r="H396" s="1" t="n">
        <v>7</v>
      </c>
      <c r="I396" s="1" t="s">
        <v>129</v>
      </c>
      <c r="J396" s="1" t="s">
        <v>255</v>
      </c>
      <c r="K396" s="1" t="n">
        <v>19</v>
      </c>
    </row>
    <row r="397" customFormat="false" ht="14.25" hidden="true" customHeight="false" outlineLevel="0" collapsed="false">
      <c r="A397" s="1" t="n">
        <v>31</v>
      </c>
      <c r="B397" s="1" t="s">
        <v>131</v>
      </c>
      <c r="C397" s="1" t="s">
        <v>252</v>
      </c>
      <c r="D397" s="23" t="s">
        <v>253</v>
      </c>
      <c r="E397" s="1" t="s">
        <v>254</v>
      </c>
      <c r="F397" s="1" t="s">
        <v>138</v>
      </c>
      <c r="G397" s="21" t="n">
        <f aca="false">K397/3.1416</f>
        <v>4.7746371275783</v>
      </c>
      <c r="H397" s="1" t="n">
        <v>7</v>
      </c>
      <c r="I397" s="1" t="s">
        <v>129</v>
      </c>
      <c r="J397" s="1" t="s">
        <v>255</v>
      </c>
      <c r="K397" s="1" t="n">
        <v>15</v>
      </c>
    </row>
    <row r="398" customFormat="false" ht="14.25" hidden="true" customHeight="false" outlineLevel="0" collapsed="false">
      <c r="A398" s="1" t="n">
        <v>31</v>
      </c>
      <c r="B398" s="1" t="s">
        <v>131</v>
      </c>
      <c r="C398" s="1" t="s">
        <v>252</v>
      </c>
      <c r="D398" s="23" t="s">
        <v>253</v>
      </c>
      <c r="E398" s="1" t="s">
        <v>254</v>
      </c>
      <c r="F398" s="1" t="s">
        <v>138</v>
      </c>
      <c r="G398" s="21" t="n">
        <f aca="false">K398/3.1416</f>
        <v>2.54647313470843</v>
      </c>
      <c r="H398" s="1" t="n">
        <v>5</v>
      </c>
      <c r="I398" s="1" t="s">
        <v>129</v>
      </c>
      <c r="J398" s="1" t="s">
        <v>255</v>
      </c>
      <c r="K398" s="1" t="n">
        <v>8</v>
      </c>
    </row>
    <row r="399" customFormat="false" ht="14.25" hidden="true" customHeight="false" outlineLevel="0" collapsed="false">
      <c r="A399" s="1" t="n">
        <v>31</v>
      </c>
      <c r="B399" s="1" t="s">
        <v>131</v>
      </c>
      <c r="C399" s="1" t="s">
        <v>252</v>
      </c>
      <c r="D399" s="23" t="s">
        <v>253</v>
      </c>
      <c r="E399" s="1" t="s">
        <v>254</v>
      </c>
      <c r="F399" s="1" t="s">
        <v>138</v>
      </c>
      <c r="G399" s="21" t="n">
        <f aca="false">K399/3.1416</f>
        <v>10.1858925388337</v>
      </c>
      <c r="H399" s="1" t="n">
        <v>8</v>
      </c>
      <c r="I399" s="1" t="s">
        <v>129</v>
      </c>
      <c r="J399" s="1" t="s">
        <v>255</v>
      </c>
      <c r="K399" s="1" t="n">
        <v>32</v>
      </c>
    </row>
    <row r="400" customFormat="false" ht="14.25" hidden="true" customHeight="false" outlineLevel="0" collapsed="false">
      <c r="A400" s="1" t="n">
        <v>31</v>
      </c>
      <c r="B400" s="1" t="s">
        <v>131</v>
      </c>
      <c r="C400" s="1" t="s">
        <v>252</v>
      </c>
      <c r="D400" s="23" t="s">
        <v>253</v>
      </c>
      <c r="E400" s="1" t="s">
        <v>254</v>
      </c>
      <c r="F400" s="1" t="s">
        <v>138</v>
      </c>
      <c r="G400" s="21" t="n">
        <f aca="false">K400/3.1416</f>
        <v>2.86478227654698</v>
      </c>
      <c r="H400" s="1" t="n">
        <v>5</v>
      </c>
      <c r="I400" s="1" t="s">
        <v>129</v>
      </c>
      <c r="J400" s="1" t="s">
        <v>255</v>
      </c>
      <c r="K400" s="1" t="n">
        <v>9</v>
      </c>
    </row>
    <row r="401" customFormat="false" ht="14.25" hidden="true" customHeight="false" outlineLevel="0" collapsed="false">
      <c r="A401" s="1" t="n">
        <v>31</v>
      </c>
      <c r="B401" s="1" t="s">
        <v>131</v>
      </c>
      <c r="C401" s="1" t="s">
        <v>252</v>
      </c>
      <c r="D401" s="23" t="s">
        <v>253</v>
      </c>
      <c r="E401" s="1" t="s">
        <v>254</v>
      </c>
      <c r="F401" s="1" t="s">
        <v>138</v>
      </c>
      <c r="G401" s="21" t="n">
        <f aca="false">K401/3.1416</f>
        <v>4.7746371275783</v>
      </c>
      <c r="H401" s="1" t="n">
        <v>7</v>
      </c>
      <c r="I401" s="1" t="s">
        <v>129</v>
      </c>
      <c r="J401" s="1" t="s">
        <v>255</v>
      </c>
      <c r="K401" s="1" t="n">
        <v>15</v>
      </c>
    </row>
    <row r="402" customFormat="false" ht="14.25" hidden="true" customHeight="false" outlineLevel="0" collapsed="false">
      <c r="A402" s="1" t="n">
        <v>31</v>
      </c>
      <c r="B402" s="1" t="s">
        <v>131</v>
      </c>
      <c r="C402" s="1" t="s">
        <v>252</v>
      </c>
      <c r="D402" s="23" t="s">
        <v>253</v>
      </c>
      <c r="E402" s="1" t="s">
        <v>254</v>
      </c>
      <c r="F402" s="1" t="s">
        <v>138</v>
      </c>
      <c r="G402" s="21" t="n">
        <f aca="false">K402/3.1416</f>
        <v>4.45632798573975</v>
      </c>
      <c r="H402" s="1" t="n">
        <v>8</v>
      </c>
      <c r="I402" s="1" t="s">
        <v>129</v>
      </c>
      <c r="J402" s="1" t="s">
        <v>255</v>
      </c>
      <c r="K402" s="1" t="n">
        <v>14</v>
      </c>
    </row>
    <row r="403" customFormat="false" ht="14.25" hidden="true" customHeight="false" outlineLevel="0" collapsed="false">
      <c r="A403" s="1" t="n">
        <v>31</v>
      </c>
      <c r="B403" s="1" t="s">
        <v>131</v>
      </c>
      <c r="C403" s="1" t="s">
        <v>252</v>
      </c>
      <c r="D403" s="23" t="s">
        <v>253</v>
      </c>
      <c r="E403" s="1" t="s">
        <v>254</v>
      </c>
      <c r="F403" s="1" t="s">
        <v>138</v>
      </c>
      <c r="G403" s="21" t="n">
        <f aca="false">K403/3.1416</f>
        <v>4.45632798573975</v>
      </c>
      <c r="H403" s="1" t="n">
        <v>6</v>
      </c>
      <c r="I403" s="1" t="s">
        <v>129</v>
      </c>
      <c r="J403" s="1" t="s">
        <v>255</v>
      </c>
      <c r="K403" s="1" t="n">
        <v>14</v>
      </c>
    </row>
    <row r="404" customFormat="false" ht="14.25" hidden="true" customHeight="false" outlineLevel="0" collapsed="false">
      <c r="A404" s="1" t="n">
        <v>31</v>
      </c>
      <c r="B404" s="1" t="s">
        <v>131</v>
      </c>
      <c r="C404" s="1" t="s">
        <v>252</v>
      </c>
      <c r="D404" s="23" t="s">
        <v>253</v>
      </c>
      <c r="E404" s="1" t="s">
        <v>254</v>
      </c>
      <c r="F404" s="1" t="s">
        <v>138</v>
      </c>
      <c r="G404" s="21" t="n">
        <f aca="false">K404/3.1416</f>
        <v>2.86478227654698</v>
      </c>
      <c r="H404" s="1" t="n">
        <v>8</v>
      </c>
      <c r="I404" s="1" t="s">
        <v>129</v>
      </c>
      <c r="J404" s="1" t="s">
        <v>255</v>
      </c>
      <c r="K404" s="1" t="n">
        <v>9</v>
      </c>
    </row>
    <row r="405" customFormat="false" ht="14.25" hidden="true" customHeight="false" outlineLevel="0" collapsed="false">
      <c r="A405" s="1" t="n">
        <v>31</v>
      </c>
      <c r="B405" s="1" t="s">
        <v>131</v>
      </c>
      <c r="C405" s="1" t="s">
        <v>252</v>
      </c>
      <c r="D405" s="23" t="s">
        <v>253</v>
      </c>
      <c r="E405" s="1" t="s">
        <v>254</v>
      </c>
      <c r="F405" s="1" t="s">
        <v>138</v>
      </c>
      <c r="G405" s="21" t="n">
        <f aca="false">K405/3.1416</f>
        <v>2.54647313470843</v>
      </c>
      <c r="H405" s="1" t="n">
        <v>6</v>
      </c>
      <c r="I405" s="1" t="s">
        <v>129</v>
      </c>
      <c r="J405" s="1" t="s">
        <v>255</v>
      </c>
      <c r="K405" s="1" t="n">
        <v>8</v>
      </c>
    </row>
    <row r="406" customFormat="false" ht="14.25" hidden="true" customHeight="false" outlineLevel="0" collapsed="false">
      <c r="A406" s="1" t="n">
        <v>31</v>
      </c>
      <c r="B406" s="1" t="s">
        <v>131</v>
      </c>
      <c r="C406" s="1" t="s">
        <v>252</v>
      </c>
      <c r="D406" s="23" t="s">
        <v>253</v>
      </c>
      <c r="E406" s="1" t="s">
        <v>254</v>
      </c>
      <c r="F406" s="1" t="s">
        <v>138</v>
      </c>
      <c r="G406" s="21" t="n">
        <f aca="false">K406/3.1416</f>
        <v>5.09294626941686</v>
      </c>
      <c r="H406" s="1" t="n">
        <v>7</v>
      </c>
      <c r="I406" s="1" t="s">
        <v>129</v>
      </c>
      <c r="J406" s="1" t="s">
        <v>255</v>
      </c>
      <c r="K406" s="1" t="n">
        <v>16</v>
      </c>
    </row>
    <row r="407" customFormat="false" ht="14.25" hidden="true" customHeight="false" outlineLevel="0" collapsed="false">
      <c r="A407" s="1" t="n">
        <v>1</v>
      </c>
      <c r="B407" s="1" t="s">
        <v>72</v>
      </c>
      <c r="C407" s="1" t="s">
        <v>252</v>
      </c>
      <c r="D407" s="23" t="s">
        <v>253</v>
      </c>
      <c r="E407" s="1" t="s">
        <v>254</v>
      </c>
      <c r="F407" s="1" t="s">
        <v>138</v>
      </c>
      <c r="G407" s="21" t="n">
        <f aca="false">ROUND(K407/PI(),0)</f>
        <v>7</v>
      </c>
      <c r="H407" s="1" t="n">
        <v>10</v>
      </c>
      <c r="I407" s="1" t="s">
        <v>129</v>
      </c>
      <c r="J407" s="1" t="s">
        <v>255</v>
      </c>
      <c r="K407" s="1" t="n">
        <v>21</v>
      </c>
    </row>
    <row r="408" customFormat="false" ht="14.25" hidden="true" customHeight="false" outlineLevel="0" collapsed="false">
      <c r="A408" s="1" t="n">
        <v>2</v>
      </c>
      <c r="B408" s="1" t="s">
        <v>72</v>
      </c>
      <c r="C408" s="1" t="s">
        <v>252</v>
      </c>
      <c r="D408" s="23" t="s">
        <v>253</v>
      </c>
      <c r="E408" s="1" t="s">
        <v>254</v>
      </c>
      <c r="F408" s="1" t="s">
        <v>138</v>
      </c>
      <c r="G408" s="21" t="n">
        <f aca="false">ROUND(K408/PI(),0)</f>
        <v>5</v>
      </c>
      <c r="H408" s="1" t="n">
        <v>7</v>
      </c>
      <c r="I408" s="1" t="s">
        <v>129</v>
      </c>
      <c r="J408" s="1" t="s">
        <v>255</v>
      </c>
      <c r="K408" s="1" t="n">
        <v>17</v>
      </c>
    </row>
    <row r="409" customFormat="false" ht="14.25" hidden="true" customHeight="false" outlineLevel="0" collapsed="false">
      <c r="A409" s="1" t="n">
        <v>2</v>
      </c>
      <c r="B409" s="1" t="s">
        <v>72</v>
      </c>
      <c r="C409" s="1" t="s">
        <v>252</v>
      </c>
      <c r="D409" s="23" t="s">
        <v>253</v>
      </c>
      <c r="E409" s="1" t="s">
        <v>254</v>
      </c>
      <c r="F409" s="1" t="s">
        <v>138</v>
      </c>
      <c r="G409" s="21" t="n">
        <f aca="false">ROUND(K409/PI(),0)</f>
        <v>9</v>
      </c>
      <c r="H409" s="1" t="n">
        <v>8</v>
      </c>
      <c r="I409" s="1" t="s">
        <v>129</v>
      </c>
      <c r="J409" s="1" t="s">
        <v>255</v>
      </c>
      <c r="K409" s="1" t="n">
        <v>28</v>
      </c>
    </row>
    <row r="410" customFormat="false" ht="14.25" hidden="true" customHeight="false" outlineLevel="0" collapsed="false">
      <c r="A410" s="1" t="n">
        <v>2</v>
      </c>
      <c r="B410" s="1" t="s">
        <v>72</v>
      </c>
      <c r="C410" s="1" t="s">
        <v>252</v>
      </c>
      <c r="D410" s="23" t="s">
        <v>253</v>
      </c>
      <c r="E410" s="1" t="s">
        <v>254</v>
      </c>
      <c r="F410" s="1" t="s">
        <v>138</v>
      </c>
      <c r="G410" s="21" t="n">
        <f aca="false">ROUND(K410/PI(),0)</f>
        <v>5</v>
      </c>
      <c r="H410" s="1" t="n">
        <v>8</v>
      </c>
      <c r="I410" s="1" t="s">
        <v>129</v>
      </c>
      <c r="J410" s="1" t="s">
        <v>255</v>
      </c>
      <c r="K410" s="1" t="n">
        <v>17</v>
      </c>
    </row>
    <row r="411" customFormat="false" ht="14.25" hidden="true" customHeight="false" outlineLevel="0" collapsed="false">
      <c r="A411" s="1" t="n">
        <v>2</v>
      </c>
      <c r="B411" s="1" t="s">
        <v>72</v>
      </c>
      <c r="C411" s="1" t="s">
        <v>252</v>
      </c>
      <c r="D411" s="23" t="s">
        <v>253</v>
      </c>
      <c r="E411" s="1" t="s">
        <v>254</v>
      </c>
      <c r="F411" s="1" t="s">
        <v>138</v>
      </c>
      <c r="G411" s="21" t="n">
        <f aca="false">ROUND(K411/PI(),0)</f>
        <v>4</v>
      </c>
      <c r="H411" s="1" t="n">
        <v>6</v>
      </c>
      <c r="I411" s="1" t="s">
        <v>129</v>
      </c>
      <c r="J411" s="1" t="s">
        <v>255</v>
      </c>
      <c r="K411" s="1" t="n">
        <v>11</v>
      </c>
    </row>
    <row r="412" customFormat="false" ht="14.25" hidden="true" customHeight="false" outlineLevel="0" collapsed="false">
      <c r="A412" s="1" t="n">
        <v>2</v>
      </c>
      <c r="B412" s="1" t="s">
        <v>72</v>
      </c>
      <c r="C412" s="1" t="s">
        <v>252</v>
      </c>
      <c r="D412" s="23" t="s">
        <v>253</v>
      </c>
      <c r="E412" s="1" t="s">
        <v>254</v>
      </c>
      <c r="F412" s="1" t="s">
        <v>138</v>
      </c>
      <c r="G412" s="21" t="n">
        <f aca="false">ROUND(K412/PI(),0)</f>
        <v>6</v>
      </c>
      <c r="H412" s="1" t="n">
        <v>8</v>
      </c>
      <c r="I412" s="1" t="s">
        <v>129</v>
      </c>
      <c r="J412" s="1" t="s">
        <v>255</v>
      </c>
      <c r="K412" s="1" t="n">
        <v>20</v>
      </c>
    </row>
    <row r="413" customFormat="false" ht="14.25" hidden="true" customHeight="false" outlineLevel="0" collapsed="false">
      <c r="A413" s="1" t="n">
        <v>3</v>
      </c>
      <c r="B413" s="1" t="s">
        <v>82</v>
      </c>
      <c r="C413" s="1" t="s">
        <v>252</v>
      </c>
      <c r="D413" s="23" t="s">
        <v>253</v>
      </c>
      <c r="E413" s="1" t="s">
        <v>254</v>
      </c>
      <c r="F413" s="1" t="s">
        <v>138</v>
      </c>
      <c r="G413" s="21" t="n">
        <f aca="false">ROUND(K413/PI(),0)</f>
        <v>12</v>
      </c>
      <c r="H413" s="1" t="n">
        <v>9</v>
      </c>
      <c r="I413" s="1" t="s">
        <v>127</v>
      </c>
      <c r="J413" s="1" t="s">
        <v>255</v>
      </c>
      <c r="K413" s="1" t="n">
        <v>37</v>
      </c>
    </row>
    <row r="414" customFormat="false" ht="14.25" hidden="true" customHeight="false" outlineLevel="0" collapsed="false">
      <c r="A414" s="1" t="n">
        <v>5</v>
      </c>
      <c r="B414" s="1" t="s">
        <v>92</v>
      </c>
      <c r="C414" s="1" t="s">
        <v>252</v>
      </c>
      <c r="D414" s="23" t="s">
        <v>256</v>
      </c>
      <c r="E414" s="1" t="s">
        <v>254</v>
      </c>
      <c r="F414" s="1" t="s">
        <v>120</v>
      </c>
      <c r="G414" s="21" t="n">
        <f aca="false">ROUND(K414/PI(),0)</f>
        <v>17</v>
      </c>
      <c r="H414" s="1" t="n">
        <v>10</v>
      </c>
      <c r="I414" s="1" t="s">
        <v>129</v>
      </c>
      <c r="J414" s="1" t="s">
        <v>255</v>
      </c>
      <c r="K414" s="1" t="n">
        <v>52</v>
      </c>
    </row>
    <row r="415" customFormat="false" ht="14.25" hidden="true" customHeight="false" outlineLevel="0" collapsed="false">
      <c r="A415" s="1" t="n">
        <v>5</v>
      </c>
      <c r="B415" s="1" t="s">
        <v>92</v>
      </c>
      <c r="C415" s="1" t="s">
        <v>252</v>
      </c>
      <c r="D415" s="23" t="s">
        <v>256</v>
      </c>
      <c r="E415" s="1" t="s">
        <v>254</v>
      </c>
      <c r="F415" s="1" t="s">
        <v>120</v>
      </c>
      <c r="G415" s="21" t="n">
        <f aca="false">ROUND(K415/PI(),0)</f>
        <v>11</v>
      </c>
      <c r="H415" s="1" t="n">
        <v>8</v>
      </c>
      <c r="I415" s="1" t="s">
        <v>129</v>
      </c>
      <c r="J415" s="1" t="s">
        <v>255</v>
      </c>
      <c r="K415" s="1" t="n">
        <v>36</v>
      </c>
    </row>
    <row r="416" customFormat="false" ht="14.25" hidden="true" customHeight="false" outlineLevel="0" collapsed="false">
      <c r="A416" s="1" t="n">
        <v>5</v>
      </c>
      <c r="B416" s="1" t="s">
        <v>92</v>
      </c>
      <c r="C416" s="1" t="s">
        <v>252</v>
      </c>
      <c r="D416" s="23" t="s">
        <v>256</v>
      </c>
      <c r="E416" s="1" t="s">
        <v>254</v>
      </c>
      <c r="F416" s="1" t="s">
        <v>120</v>
      </c>
      <c r="G416" s="21" t="n">
        <f aca="false">ROUND(K416/PI(),0)</f>
        <v>6</v>
      </c>
      <c r="H416" s="1" t="n">
        <v>4</v>
      </c>
      <c r="I416" s="1" t="s">
        <v>129</v>
      </c>
      <c r="J416" s="1" t="s">
        <v>255</v>
      </c>
      <c r="K416" s="1" t="n">
        <v>18</v>
      </c>
    </row>
    <row r="417" customFormat="false" ht="14.25" hidden="true" customHeight="false" outlineLevel="0" collapsed="false">
      <c r="A417" s="1" t="n">
        <v>5</v>
      </c>
      <c r="B417" s="1" t="s">
        <v>92</v>
      </c>
      <c r="C417" s="1" t="s">
        <v>252</v>
      </c>
      <c r="D417" s="23" t="s">
        <v>256</v>
      </c>
      <c r="E417" s="1" t="s">
        <v>254</v>
      </c>
      <c r="F417" s="1" t="s">
        <v>120</v>
      </c>
      <c r="G417" s="21" t="n">
        <f aca="false">ROUND(K417/PI(),0)</f>
        <v>3</v>
      </c>
      <c r="H417" s="1" t="n">
        <v>4</v>
      </c>
      <c r="I417" s="1" t="s">
        <v>129</v>
      </c>
      <c r="J417" s="1" t="s">
        <v>255</v>
      </c>
      <c r="K417" s="1" t="n">
        <v>8.5</v>
      </c>
    </row>
    <row r="418" customFormat="false" ht="14.25" hidden="true" customHeight="false" outlineLevel="0" collapsed="false">
      <c r="A418" s="1" t="n">
        <v>5</v>
      </c>
      <c r="B418" s="1" t="s">
        <v>92</v>
      </c>
      <c r="C418" s="1" t="s">
        <v>252</v>
      </c>
      <c r="D418" s="23" t="s">
        <v>256</v>
      </c>
      <c r="E418" s="1" t="s">
        <v>254</v>
      </c>
      <c r="F418" s="1" t="s">
        <v>120</v>
      </c>
      <c r="G418" s="21" t="n">
        <f aca="false">ROUND(K418/PI(),0)</f>
        <v>6</v>
      </c>
      <c r="H418" s="1" t="n">
        <v>8</v>
      </c>
      <c r="I418" s="1" t="s">
        <v>129</v>
      </c>
      <c r="J418" s="1" t="s">
        <v>255</v>
      </c>
      <c r="K418" s="1" t="n">
        <v>18</v>
      </c>
    </row>
    <row r="419" customFormat="false" ht="14.25" hidden="true" customHeight="false" outlineLevel="0" collapsed="false">
      <c r="A419" s="1" t="n">
        <v>6</v>
      </c>
      <c r="B419" s="1" t="s">
        <v>92</v>
      </c>
      <c r="C419" s="1" t="s">
        <v>252</v>
      </c>
      <c r="D419" s="23" t="s">
        <v>256</v>
      </c>
      <c r="E419" s="1" t="s">
        <v>254</v>
      </c>
      <c r="F419" s="1" t="s">
        <v>120</v>
      </c>
      <c r="G419" s="21" t="n">
        <f aca="false">ROUND(K419/PI(),0)</f>
        <v>4</v>
      </c>
      <c r="H419" s="1" t="n">
        <v>3</v>
      </c>
      <c r="I419" s="1" t="s">
        <v>129</v>
      </c>
      <c r="J419" s="1" t="s">
        <v>255</v>
      </c>
      <c r="K419" s="1" t="n">
        <v>11</v>
      </c>
    </row>
    <row r="420" customFormat="false" ht="14.25" hidden="true" customHeight="false" outlineLevel="0" collapsed="false">
      <c r="A420" s="1" t="n">
        <v>6</v>
      </c>
      <c r="B420" s="1" t="s">
        <v>92</v>
      </c>
      <c r="C420" s="1" t="s">
        <v>252</v>
      </c>
      <c r="D420" s="23" t="s">
        <v>256</v>
      </c>
      <c r="E420" s="1" t="s">
        <v>254</v>
      </c>
      <c r="F420" s="1" t="s">
        <v>120</v>
      </c>
      <c r="G420" s="21" t="n">
        <f aca="false">ROUND(K420/PI(),0)</f>
        <v>4</v>
      </c>
      <c r="H420" s="1" t="n">
        <v>8</v>
      </c>
      <c r="I420" s="1" t="s">
        <v>129</v>
      </c>
      <c r="J420" s="1" t="s">
        <v>255</v>
      </c>
      <c r="K420" s="1" t="n">
        <v>14</v>
      </c>
    </row>
    <row r="421" customFormat="false" ht="14.25" hidden="true" customHeight="false" outlineLevel="0" collapsed="false">
      <c r="A421" s="1" t="n">
        <v>6</v>
      </c>
      <c r="B421" s="1" t="s">
        <v>92</v>
      </c>
      <c r="C421" s="1" t="s">
        <v>252</v>
      </c>
      <c r="D421" s="23" t="s">
        <v>256</v>
      </c>
      <c r="E421" s="1" t="s">
        <v>254</v>
      </c>
      <c r="F421" s="1" t="s">
        <v>120</v>
      </c>
      <c r="G421" s="21" t="n">
        <f aca="false">ROUND(K421/PI(),0)</f>
        <v>3</v>
      </c>
      <c r="H421" s="1" t="n">
        <v>4</v>
      </c>
      <c r="I421" s="1" t="s">
        <v>129</v>
      </c>
      <c r="J421" s="1" t="s">
        <v>255</v>
      </c>
      <c r="K421" s="1" t="n">
        <v>10</v>
      </c>
    </row>
    <row r="422" customFormat="false" ht="14.25" hidden="true" customHeight="false" outlineLevel="0" collapsed="false">
      <c r="A422" s="1" t="n">
        <v>6</v>
      </c>
      <c r="B422" s="1" t="s">
        <v>92</v>
      </c>
      <c r="C422" s="1" t="s">
        <v>252</v>
      </c>
      <c r="D422" s="23" t="s">
        <v>256</v>
      </c>
      <c r="E422" s="1" t="s">
        <v>254</v>
      </c>
      <c r="F422" s="1" t="s">
        <v>120</v>
      </c>
      <c r="G422" s="21" t="n">
        <f aca="false">ROUND(K422/PI(),0)</f>
        <v>8</v>
      </c>
      <c r="H422" s="1" t="n">
        <v>8</v>
      </c>
      <c r="I422" s="1" t="s">
        <v>129</v>
      </c>
      <c r="J422" s="1" t="s">
        <v>255</v>
      </c>
      <c r="K422" s="1" t="n">
        <v>24</v>
      </c>
    </row>
    <row r="423" customFormat="false" ht="14.25" hidden="true" customHeight="false" outlineLevel="0" collapsed="false">
      <c r="A423" s="1" t="n">
        <v>6</v>
      </c>
      <c r="B423" s="1" t="s">
        <v>92</v>
      </c>
      <c r="C423" s="1" t="s">
        <v>252</v>
      </c>
      <c r="D423" s="23" t="s">
        <v>256</v>
      </c>
      <c r="E423" s="1" t="s">
        <v>254</v>
      </c>
      <c r="F423" s="1" t="s">
        <v>120</v>
      </c>
      <c r="G423" s="21" t="n">
        <f aca="false">ROUND(K423/PI(),0)</f>
        <v>5</v>
      </c>
      <c r="H423" s="1" t="n">
        <v>6</v>
      </c>
      <c r="I423" s="1" t="s">
        <v>129</v>
      </c>
      <c r="J423" s="1" t="s">
        <v>255</v>
      </c>
      <c r="K423" s="1" t="n">
        <v>17</v>
      </c>
    </row>
    <row r="424" customFormat="false" ht="14.25" hidden="true" customHeight="false" outlineLevel="0" collapsed="false">
      <c r="A424" s="1" t="n">
        <v>7</v>
      </c>
      <c r="B424" s="1" t="s">
        <v>101</v>
      </c>
      <c r="C424" s="1" t="s">
        <v>252</v>
      </c>
      <c r="D424" s="23" t="s">
        <v>256</v>
      </c>
      <c r="E424" s="1" t="s">
        <v>254</v>
      </c>
      <c r="F424" s="1" t="s">
        <v>120</v>
      </c>
      <c r="G424" s="21" t="n">
        <f aca="false">ROUND(K424/PI(),0)</f>
        <v>5</v>
      </c>
      <c r="H424" s="1" t="n">
        <v>7</v>
      </c>
      <c r="I424" s="1" t="s">
        <v>129</v>
      </c>
      <c r="J424" s="1" t="s">
        <v>255</v>
      </c>
      <c r="K424" s="1" t="n">
        <v>15</v>
      </c>
    </row>
    <row r="425" customFormat="false" ht="14.25" hidden="true" customHeight="false" outlineLevel="0" collapsed="false">
      <c r="A425" s="1" t="n">
        <v>7</v>
      </c>
      <c r="B425" s="1" t="s">
        <v>101</v>
      </c>
      <c r="C425" s="1" t="s">
        <v>252</v>
      </c>
      <c r="D425" s="23" t="s">
        <v>256</v>
      </c>
      <c r="E425" s="1" t="s">
        <v>254</v>
      </c>
      <c r="F425" s="1" t="s">
        <v>120</v>
      </c>
      <c r="G425" s="21" t="n">
        <f aca="false">ROUND(K425/PI(),0)</f>
        <v>3</v>
      </c>
      <c r="H425" s="1" t="n">
        <v>6</v>
      </c>
      <c r="I425" s="1" t="s">
        <v>129</v>
      </c>
      <c r="J425" s="1" t="s">
        <v>255</v>
      </c>
      <c r="K425" s="1" t="n">
        <v>8.5</v>
      </c>
    </row>
    <row r="426" customFormat="false" ht="14.25" hidden="true" customHeight="false" outlineLevel="0" collapsed="false">
      <c r="A426" s="1" t="n">
        <v>8</v>
      </c>
      <c r="B426" s="1" t="s">
        <v>101</v>
      </c>
      <c r="C426" s="1" t="s">
        <v>252</v>
      </c>
      <c r="D426" s="23" t="s">
        <v>256</v>
      </c>
      <c r="E426" s="1" t="s">
        <v>254</v>
      </c>
      <c r="F426" s="1" t="s">
        <v>120</v>
      </c>
      <c r="G426" s="21" t="n">
        <f aca="false">ROUND(K426/PI(),0)</f>
        <v>8</v>
      </c>
      <c r="H426" s="1" t="n">
        <v>10</v>
      </c>
      <c r="I426" s="1" t="s">
        <v>129</v>
      </c>
      <c r="J426" s="1" t="s">
        <v>255</v>
      </c>
      <c r="K426" s="1" t="n">
        <v>25</v>
      </c>
    </row>
    <row r="427" customFormat="false" ht="14.25" hidden="true" customHeight="false" outlineLevel="0" collapsed="false">
      <c r="A427" s="1" t="n">
        <v>8</v>
      </c>
      <c r="B427" s="1" t="s">
        <v>101</v>
      </c>
      <c r="C427" s="1" t="s">
        <v>252</v>
      </c>
      <c r="D427" s="23" t="s">
        <v>256</v>
      </c>
      <c r="E427" s="1" t="s">
        <v>254</v>
      </c>
      <c r="F427" s="1" t="s">
        <v>120</v>
      </c>
      <c r="G427" s="21" t="n">
        <f aca="false">ROUND(K427/PI(),0)</f>
        <v>4</v>
      </c>
      <c r="H427" s="1" t="n">
        <v>5</v>
      </c>
      <c r="I427" s="1" t="s">
        <v>129</v>
      </c>
      <c r="J427" s="1" t="s">
        <v>255</v>
      </c>
      <c r="K427" s="1" t="n">
        <v>11</v>
      </c>
    </row>
    <row r="428" customFormat="false" ht="14.25" hidden="true" customHeight="false" outlineLevel="0" collapsed="false">
      <c r="A428" s="1" t="n">
        <v>8</v>
      </c>
      <c r="B428" s="1" t="s">
        <v>101</v>
      </c>
      <c r="C428" s="1" t="s">
        <v>252</v>
      </c>
      <c r="D428" s="23" t="s">
        <v>256</v>
      </c>
      <c r="E428" s="1" t="s">
        <v>254</v>
      </c>
      <c r="F428" s="1" t="s">
        <v>120</v>
      </c>
      <c r="G428" s="21" t="n">
        <f aca="false">ROUND(K428/PI(),0)</f>
        <v>4</v>
      </c>
      <c r="H428" s="1" t="n">
        <v>6</v>
      </c>
      <c r="I428" s="1" t="s">
        <v>129</v>
      </c>
      <c r="J428" s="1" t="s">
        <v>255</v>
      </c>
      <c r="K428" s="1" t="n">
        <v>14</v>
      </c>
    </row>
    <row r="429" customFormat="false" ht="14.25" hidden="true" customHeight="false" outlineLevel="0" collapsed="false">
      <c r="A429" s="1" t="n">
        <v>5</v>
      </c>
      <c r="B429" s="1" t="s">
        <v>92</v>
      </c>
      <c r="C429" s="1" t="s">
        <v>257</v>
      </c>
      <c r="D429" s="23" t="s">
        <v>256</v>
      </c>
      <c r="E429" s="1" t="s">
        <v>254</v>
      </c>
      <c r="F429" s="1" t="s">
        <v>120</v>
      </c>
      <c r="G429" s="21" t="n">
        <f aca="false">ROUND(K429/PI(),0)</f>
        <v>5</v>
      </c>
      <c r="H429" s="1" t="n">
        <v>8</v>
      </c>
      <c r="I429" s="1" t="s">
        <v>129</v>
      </c>
      <c r="J429" s="1" t="s">
        <v>255</v>
      </c>
      <c r="K429" s="1" t="n">
        <v>17</v>
      </c>
    </row>
    <row r="430" customFormat="false" ht="14.25" hidden="true" customHeight="false" outlineLevel="0" collapsed="false">
      <c r="A430" s="1" t="n">
        <v>3</v>
      </c>
      <c r="B430" s="1" t="s">
        <v>122</v>
      </c>
      <c r="C430" s="1" t="s">
        <v>258</v>
      </c>
      <c r="D430" s="23"/>
      <c r="G430" s="21" t="n">
        <f aca="false">K430/3.1416</f>
        <v>100.903997962821</v>
      </c>
      <c r="H430" s="1" t="n">
        <v>0</v>
      </c>
      <c r="I430" s="2" t="s">
        <v>74</v>
      </c>
      <c r="J430" s="1" t="s">
        <v>243</v>
      </c>
      <c r="K430" s="1" t="n">
        <v>317</v>
      </c>
    </row>
    <row r="431" customFormat="false" ht="14.25" hidden="true" customHeight="false" outlineLevel="0" collapsed="false">
      <c r="A431" s="1" t="n">
        <v>3</v>
      </c>
      <c r="B431" s="1" t="s">
        <v>122</v>
      </c>
      <c r="C431" s="1" t="s">
        <v>259</v>
      </c>
      <c r="D431" s="23" t="s">
        <v>260</v>
      </c>
      <c r="E431" s="1" t="s">
        <v>261</v>
      </c>
      <c r="F431" s="1" t="s">
        <v>138</v>
      </c>
      <c r="G431" s="21" t="n">
        <f aca="false">K431/3.1416</f>
        <v>5.09294626941686</v>
      </c>
      <c r="H431" s="1" t="n">
        <v>0</v>
      </c>
      <c r="I431" s="2" t="s">
        <v>74</v>
      </c>
      <c r="J431" s="1" t="s">
        <v>74</v>
      </c>
      <c r="K431" s="1" t="n">
        <v>16</v>
      </c>
    </row>
    <row r="432" customFormat="false" ht="14.25" hidden="true" customHeight="false" outlineLevel="0" collapsed="false">
      <c r="A432" s="1" t="n">
        <v>4</v>
      </c>
      <c r="B432" s="1" t="s">
        <v>122</v>
      </c>
      <c r="C432" s="1" t="s">
        <v>262</v>
      </c>
      <c r="D432" s="23"/>
      <c r="G432" s="21" t="n">
        <f aca="false">K432/3.1416</f>
        <v>11.4591291061879</v>
      </c>
      <c r="H432" s="1" t="n">
        <v>0</v>
      </c>
      <c r="I432" s="2" t="s">
        <v>74</v>
      </c>
      <c r="J432" s="1" t="s">
        <v>263</v>
      </c>
      <c r="K432" s="1" t="n">
        <v>36</v>
      </c>
    </row>
    <row r="433" customFormat="false" ht="14.25" hidden="true" customHeight="false" outlineLevel="0" collapsed="false">
      <c r="A433" s="1" t="n">
        <v>5</v>
      </c>
      <c r="B433" s="1" t="s">
        <v>92</v>
      </c>
      <c r="C433" s="1" t="s">
        <v>264</v>
      </c>
      <c r="D433" s="23"/>
      <c r="E433" s="1" t="s">
        <v>174</v>
      </c>
      <c r="F433" s="1" t="s">
        <v>120</v>
      </c>
      <c r="G433" s="21" t="n">
        <f aca="false">ROUND(K433/PI(),0)</f>
        <v>6</v>
      </c>
      <c r="H433" s="1" t="n">
        <v>7</v>
      </c>
      <c r="I433" s="1" t="s">
        <v>129</v>
      </c>
      <c r="J433" s="1" t="s">
        <v>152</v>
      </c>
      <c r="K433" s="1" t="n">
        <v>18</v>
      </c>
    </row>
    <row r="434" customFormat="false" ht="14.25" hidden="true" customHeight="false" outlineLevel="0" collapsed="false">
      <c r="A434" s="1" t="n">
        <v>5</v>
      </c>
      <c r="B434" s="1" t="s">
        <v>92</v>
      </c>
      <c r="C434" s="1" t="s">
        <v>265</v>
      </c>
      <c r="D434" s="23" t="s">
        <v>192</v>
      </c>
      <c r="E434" s="1" t="s">
        <v>193</v>
      </c>
      <c r="F434" s="1" t="s">
        <v>120</v>
      </c>
      <c r="G434" s="21" t="n">
        <f aca="false">ROUND(K434/PI(),0)</f>
        <v>4</v>
      </c>
      <c r="H434" s="1" t="n">
        <v>6</v>
      </c>
      <c r="I434" s="1" t="s">
        <v>127</v>
      </c>
      <c r="J434" s="1" t="s">
        <v>152</v>
      </c>
      <c r="K434" s="1" t="n">
        <v>12</v>
      </c>
    </row>
    <row r="435" customFormat="false" ht="14.25" hidden="true" customHeight="false" outlineLevel="0" collapsed="false">
      <c r="A435" s="1" t="n">
        <v>5</v>
      </c>
      <c r="B435" s="1" t="s">
        <v>122</v>
      </c>
      <c r="C435" s="1" t="s">
        <v>266</v>
      </c>
      <c r="D435" s="23" t="s">
        <v>267</v>
      </c>
      <c r="E435" s="1" t="s">
        <v>126</v>
      </c>
      <c r="F435" s="2" t="s">
        <v>268</v>
      </c>
      <c r="G435" s="21" t="n">
        <f aca="false">K435/3.1416</f>
        <v>9.54927425515661</v>
      </c>
      <c r="H435" s="1" t="n">
        <v>0</v>
      </c>
      <c r="I435" s="2" t="s">
        <v>74</v>
      </c>
      <c r="J435" s="1" t="s">
        <v>74</v>
      </c>
      <c r="K435" s="1" t="n">
        <v>30</v>
      </c>
    </row>
    <row r="436" customFormat="false" ht="14.25" hidden="true" customHeight="false" outlineLevel="0" collapsed="false">
      <c r="A436" s="1" t="n">
        <v>3</v>
      </c>
      <c r="B436" s="1" t="s">
        <v>82</v>
      </c>
      <c r="C436" s="1" t="s">
        <v>269</v>
      </c>
      <c r="D436" s="23" t="s">
        <v>232</v>
      </c>
      <c r="E436" s="1" t="s">
        <v>233</v>
      </c>
      <c r="F436" s="1" t="s">
        <v>138</v>
      </c>
      <c r="G436" s="21" t="n">
        <f aca="false">ROUND(K436/PI(),0)</f>
        <v>3</v>
      </c>
      <c r="H436" s="1" t="n">
        <v>5</v>
      </c>
      <c r="I436" s="1" t="s">
        <v>129</v>
      </c>
      <c r="J436" s="1" t="s">
        <v>141</v>
      </c>
      <c r="K436" s="1" t="n">
        <v>10</v>
      </c>
    </row>
    <row r="437" customFormat="false" ht="14.25" hidden="true" customHeight="false" outlineLevel="0" collapsed="false">
      <c r="A437" s="1" t="n">
        <v>7</v>
      </c>
      <c r="B437" s="1" t="s">
        <v>101</v>
      </c>
      <c r="C437" s="1" t="s">
        <v>269</v>
      </c>
      <c r="D437" s="23"/>
      <c r="G437" s="21" t="n">
        <f aca="false">ROUND(K437/PI(),0)</f>
        <v>6</v>
      </c>
      <c r="H437" s="1" t="n">
        <v>10</v>
      </c>
      <c r="I437" s="1" t="s">
        <v>129</v>
      </c>
      <c r="J437" s="1" t="s">
        <v>141</v>
      </c>
      <c r="K437" s="1" t="n">
        <v>20</v>
      </c>
    </row>
    <row r="438" customFormat="false" ht="14.25" hidden="true" customHeight="false" outlineLevel="0" collapsed="false">
      <c r="A438" s="1" t="n">
        <v>8</v>
      </c>
      <c r="B438" s="1" t="s">
        <v>101</v>
      </c>
      <c r="C438" s="1" t="s">
        <v>269</v>
      </c>
      <c r="D438" s="23"/>
      <c r="G438" s="21" t="n">
        <f aca="false">ROUND(K438/PI(),0)</f>
        <v>3</v>
      </c>
      <c r="H438" s="1" t="n">
        <v>7</v>
      </c>
      <c r="I438" s="1" t="s">
        <v>127</v>
      </c>
      <c r="J438" s="1" t="s">
        <v>141</v>
      </c>
      <c r="K438" s="1" t="n">
        <v>10</v>
      </c>
    </row>
    <row r="439" customFormat="false" ht="14.25" hidden="true" customHeight="false" outlineLevel="0" collapsed="false">
      <c r="A439" s="1" t="n">
        <v>5</v>
      </c>
      <c r="B439" s="1" t="s">
        <v>92</v>
      </c>
      <c r="C439" s="1" t="s">
        <v>270</v>
      </c>
      <c r="D439" s="23"/>
      <c r="G439" s="21" t="n">
        <f aca="false">ROUND(K439/PI(),0)</f>
        <v>5</v>
      </c>
      <c r="H439" s="1" t="n">
        <v>10</v>
      </c>
      <c r="I439" s="1" t="s">
        <v>129</v>
      </c>
      <c r="J439" s="1" t="s">
        <v>152</v>
      </c>
      <c r="K439" s="1" t="n">
        <v>17</v>
      </c>
    </row>
    <row r="440" customFormat="false" ht="14.25" hidden="true" customHeight="false" outlineLevel="0" collapsed="false">
      <c r="A440" s="1" t="n">
        <v>1</v>
      </c>
      <c r="B440" s="1" t="s">
        <v>82</v>
      </c>
      <c r="C440" s="1" t="s">
        <v>93</v>
      </c>
      <c r="D440" s="23" t="s">
        <v>132</v>
      </c>
      <c r="E440" s="1" t="s">
        <v>133</v>
      </c>
      <c r="F440" s="2" t="s">
        <v>120</v>
      </c>
      <c r="G440" s="21" t="n">
        <f aca="false">K440/3.1416</f>
        <v>3.81970970206264</v>
      </c>
      <c r="H440" s="1" t="n">
        <v>0</v>
      </c>
      <c r="I440" s="2" t="s">
        <v>74</v>
      </c>
      <c r="J440" s="1" t="s">
        <v>271</v>
      </c>
      <c r="K440" s="1" t="n">
        <v>12</v>
      </c>
    </row>
    <row r="441" customFormat="false" ht="14.25" hidden="true" customHeight="false" outlineLevel="0" collapsed="false">
      <c r="A441" s="1" t="n">
        <v>4</v>
      </c>
      <c r="B441" s="1" t="s">
        <v>122</v>
      </c>
      <c r="C441" s="1" t="s">
        <v>93</v>
      </c>
      <c r="D441" s="23" t="s">
        <v>147</v>
      </c>
      <c r="E441" s="1" t="s">
        <v>148</v>
      </c>
      <c r="F441" s="2" t="s">
        <v>138</v>
      </c>
      <c r="G441" s="21" t="n">
        <f aca="false">K441/3.1416</f>
        <v>10.8225108225108</v>
      </c>
      <c r="H441" s="1" t="n">
        <v>0</v>
      </c>
      <c r="I441" s="2" t="s">
        <v>74</v>
      </c>
      <c r="J441" s="1" t="s">
        <v>271</v>
      </c>
      <c r="K441" s="1" t="n">
        <v>34</v>
      </c>
    </row>
    <row r="442" customFormat="false" ht="14.25" hidden="true" customHeight="false" outlineLevel="0" collapsed="false">
      <c r="A442" s="1" t="n">
        <v>5</v>
      </c>
      <c r="B442" s="1" t="s">
        <v>122</v>
      </c>
      <c r="C442" s="1" t="s">
        <v>93</v>
      </c>
      <c r="D442" s="23" t="s">
        <v>132</v>
      </c>
      <c r="E442" s="1" t="s">
        <v>133</v>
      </c>
      <c r="F442" s="2" t="s">
        <v>120</v>
      </c>
      <c r="G442" s="21" t="n">
        <f aca="false">K442/3.1416</f>
        <v>5.72956455309397</v>
      </c>
      <c r="H442" s="1" t="n">
        <v>0</v>
      </c>
      <c r="I442" s="2" t="s">
        <v>74</v>
      </c>
      <c r="J442" s="1" t="s">
        <v>271</v>
      </c>
      <c r="K442" s="1" t="n">
        <v>18</v>
      </c>
    </row>
    <row r="443" customFormat="false" ht="14.25" hidden="true" customHeight="false" outlineLevel="0" collapsed="false">
      <c r="A443" s="1" t="n">
        <v>6</v>
      </c>
      <c r="B443" s="1" t="s">
        <v>122</v>
      </c>
      <c r="C443" s="1" t="s">
        <v>93</v>
      </c>
      <c r="D443" s="23" t="s">
        <v>132</v>
      </c>
      <c r="E443" s="1" t="s">
        <v>133</v>
      </c>
      <c r="F443" s="2" t="s">
        <v>120</v>
      </c>
      <c r="G443" s="21" t="n">
        <f aca="false">K443/3.1416</f>
        <v>4.1380188439012</v>
      </c>
      <c r="H443" s="1" t="n">
        <v>7</v>
      </c>
      <c r="I443" s="2" t="s">
        <v>74</v>
      </c>
      <c r="J443" s="1" t="s">
        <v>271</v>
      </c>
      <c r="K443" s="1" t="n">
        <v>13</v>
      </c>
    </row>
    <row r="444" customFormat="false" ht="14.25" hidden="true" customHeight="false" outlineLevel="0" collapsed="false">
      <c r="A444" s="1" t="n">
        <v>8</v>
      </c>
      <c r="B444" s="1" t="s">
        <v>122</v>
      </c>
      <c r="C444" s="1" t="s">
        <v>93</v>
      </c>
      <c r="D444" s="23" t="s">
        <v>272</v>
      </c>
      <c r="E444" s="1" t="s">
        <v>156</v>
      </c>
      <c r="F444" s="2" t="s">
        <v>120</v>
      </c>
      <c r="G444" s="21" t="n">
        <f aca="false">K444/3.1416</f>
        <v>52.2026992615228</v>
      </c>
      <c r="H444" s="1" t="n">
        <v>25</v>
      </c>
      <c r="I444" s="2" t="s">
        <v>129</v>
      </c>
      <c r="J444" s="1" t="s">
        <v>271</v>
      </c>
      <c r="K444" s="1" t="n">
        <v>164</v>
      </c>
    </row>
    <row r="445" customFormat="false" ht="14.25" hidden="true" customHeight="false" outlineLevel="0" collapsed="false">
      <c r="A445" s="1" t="n">
        <v>9</v>
      </c>
      <c r="B445" s="1" t="s">
        <v>122</v>
      </c>
      <c r="C445" s="1" t="s">
        <v>93</v>
      </c>
      <c r="D445" s="23" t="s">
        <v>273</v>
      </c>
      <c r="E445" s="1" t="s">
        <v>133</v>
      </c>
      <c r="F445" s="2" t="s">
        <v>138</v>
      </c>
      <c r="G445" s="21" t="n">
        <f aca="false">K445/3.1416</f>
        <v>4.7746371275783</v>
      </c>
      <c r="H445" s="1" t="n">
        <v>10</v>
      </c>
      <c r="I445" s="2" t="s">
        <v>129</v>
      </c>
      <c r="J445" s="1" t="s">
        <v>271</v>
      </c>
      <c r="K445" s="1" t="n">
        <v>15</v>
      </c>
    </row>
    <row r="446" customFormat="false" ht="14.25" hidden="true" customHeight="false" outlineLevel="0" collapsed="false">
      <c r="A446" s="1" t="n">
        <v>9</v>
      </c>
      <c r="B446" s="1" t="s">
        <v>122</v>
      </c>
      <c r="C446" s="1" t="s">
        <v>93</v>
      </c>
      <c r="D446" s="23" t="s">
        <v>273</v>
      </c>
      <c r="E446" s="1" t="s">
        <v>133</v>
      </c>
      <c r="F446" s="2" t="s">
        <v>138</v>
      </c>
      <c r="G446" s="21" t="n">
        <f aca="false">K446/3.1416</f>
        <v>7.32111026228673</v>
      </c>
      <c r="H446" s="1" t="n">
        <v>6</v>
      </c>
      <c r="I446" s="2" t="s">
        <v>129</v>
      </c>
      <c r="J446" s="1" t="s">
        <v>271</v>
      </c>
      <c r="K446" s="1" t="n">
        <v>23</v>
      </c>
    </row>
    <row r="447" customFormat="false" ht="14.25" hidden="true" customHeight="false" outlineLevel="0" collapsed="false">
      <c r="A447" s="1" t="n">
        <v>9</v>
      </c>
      <c r="B447" s="1" t="s">
        <v>122</v>
      </c>
      <c r="C447" s="1" t="s">
        <v>93</v>
      </c>
      <c r="D447" s="23" t="s">
        <v>273</v>
      </c>
      <c r="E447" s="1" t="s">
        <v>133</v>
      </c>
      <c r="F447" s="2" t="s">
        <v>138</v>
      </c>
      <c r="G447" s="21" t="n">
        <f aca="false">K447/3.1416</f>
        <v>4.7746371275783</v>
      </c>
      <c r="H447" s="1" t="n">
        <v>7</v>
      </c>
      <c r="I447" s="2" t="s">
        <v>129</v>
      </c>
      <c r="J447" s="1" t="s">
        <v>271</v>
      </c>
      <c r="K447" s="1" t="n">
        <v>15</v>
      </c>
    </row>
    <row r="448" customFormat="false" ht="14.25" hidden="false" customHeight="false" outlineLevel="0" collapsed="false">
      <c r="A448" s="1" t="n">
        <v>10</v>
      </c>
      <c r="B448" s="1" t="s">
        <v>82</v>
      </c>
      <c r="C448" s="1" t="s">
        <v>93</v>
      </c>
      <c r="D448" s="23" t="s">
        <v>132</v>
      </c>
      <c r="E448" s="1" t="s">
        <v>133</v>
      </c>
      <c r="F448" s="2" t="s">
        <v>120</v>
      </c>
      <c r="G448" s="21" t="n">
        <f aca="false">K448/3.1416</f>
        <v>7.95772854596384</v>
      </c>
      <c r="H448" s="1" t="n">
        <v>9</v>
      </c>
      <c r="I448" s="1" t="s">
        <v>129</v>
      </c>
      <c r="J448" s="1" t="s">
        <v>271</v>
      </c>
      <c r="K448" s="1" t="n">
        <v>25</v>
      </c>
    </row>
    <row r="449" customFormat="false" ht="14.25" hidden="false" customHeight="false" outlineLevel="0" collapsed="false">
      <c r="A449" s="1" t="n">
        <v>10</v>
      </c>
      <c r="B449" s="1" t="s">
        <v>82</v>
      </c>
      <c r="C449" s="1" t="s">
        <v>93</v>
      </c>
      <c r="D449" s="23" t="s">
        <v>132</v>
      </c>
      <c r="E449" s="1" t="s">
        <v>133</v>
      </c>
      <c r="F449" s="2" t="s">
        <v>120</v>
      </c>
      <c r="G449" s="21" t="n">
        <f aca="false">K449/3.1416</f>
        <v>5.72956455309397</v>
      </c>
      <c r="H449" s="1" t="n">
        <v>8</v>
      </c>
      <c r="I449" s="1" t="s">
        <v>129</v>
      </c>
      <c r="J449" s="1" t="s">
        <v>271</v>
      </c>
      <c r="K449" s="1" t="n">
        <v>18</v>
      </c>
    </row>
    <row r="450" customFormat="false" ht="14.25" hidden="true" customHeight="false" outlineLevel="0" collapsed="false">
      <c r="A450" s="1" t="n">
        <v>11</v>
      </c>
      <c r="B450" s="1" t="s">
        <v>82</v>
      </c>
      <c r="C450" s="1" t="s">
        <v>93</v>
      </c>
      <c r="D450" s="23"/>
      <c r="G450" s="21" t="n">
        <f aca="false">K450/3.1416</f>
        <v>3.18309141838554</v>
      </c>
      <c r="H450" s="1" t="n">
        <v>5</v>
      </c>
      <c r="I450" s="1" t="s">
        <v>129</v>
      </c>
      <c r="J450" s="1" t="s">
        <v>271</v>
      </c>
      <c r="K450" s="1" t="n">
        <v>10</v>
      </c>
    </row>
    <row r="451" customFormat="false" ht="14.25" hidden="true" customHeight="false" outlineLevel="0" collapsed="false">
      <c r="A451" s="1" t="n">
        <v>11</v>
      </c>
      <c r="B451" s="1" t="s">
        <v>82</v>
      </c>
      <c r="C451" s="1" t="s">
        <v>93</v>
      </c>
      <c r="D451" s="23" t="s">
        <v>274</v>
      </c>
      <c r="E451" s="1" t="s">
        <v>275</v>
      </c>
      <c r="F451" s="2" t="s">
        <v>120</v>
      </c>
      <c r="G451" s="21" t="n">
        <f aca="false">K451/3.1416</f>
        <v>2.54647313470843</v>
      </c>
      <c r="H451" s="1" t="n">
        <v>7</v>
      </c>
      <c r="I451" s="1" t="s">
        <v>127</v>
      </c>
      <c r="J451" s="1" t="s">
        <v>271</v>
      </c>
      <c r="K451" s="1" t="n">
        <v>8</v>
      </c>
    </row>
    <row r="452" customFormat="false" ht="14.25" hidden="true" customHeight="false" outlineLevel="0" collapsed="false">
      <c r="A452" s="1" t="n">
        <v>11</v>
      </c>
      <c r="B452" s="1" t="s">
        <v>82</v>
      </c>
      <c r="C452" s="1" t="s">
        <v>93</v>
      </c>
      <c r="D452" s="23"/>
      <c r="G452" s="21" t="n">
        <f aca="false">K452/3.1416</f>
        <v>5.09294626941686</v>
      </c>
      <c r="H452" s="1" t="n">
        <v>6</v>
      </c>
      <c r="I452" s="1" t="s">
        <v>129</v>
      </c>
      <c r="J452" s="1" t="s">
        <v>271</v>
      </c>
      <c r="K452" s="1" t="n">
        <v>16</v>
      </c>
    </row>
    <row r="453" customFormat="false" ht="14.25" hidden="true" customHeight="false" outlineLevel="0" collapsed="false">
      <c r="A453" s="1" t="n">
        <v>11</v>
      </c>
      <c r="B453" s="1" t="s">
        <v>82</v>
      </c>
      <c r="C453" s="1" t="s">
        <v>93</v>
      </c>
      <c r="D453" s="23"/>
      <c r="G453" s="21" t="n">
        <f aca="false">K453/3.1416</f>
        <v>8.27603768780239</v>
      </c>
      <c r="H453" s="1" t="n">
        <v>7</v>
      </c>
      <c r="I453" s="1" t="s">
        <v>129</v>
      </c>
      <c r="J453" s="1" t="s">
        <v>271</v>
      </c>
      <c r="K453" s="1" t="n">
        <v>26</v>
      </c>
    </row>
    <row r="454" customFormat="false" ht="14.25" hidden="true" customHeight="false" outlineLevel="0" collapsed="false">
      <c r="A454" s="1" t="n">
        <v>11</v>
      </c>
      <c r="B454" s="1" t="s">
        <v>82</v>
      </c>
      <c r="C454" s="1" t="s">
        <v>93</v>
      </c>
      <c r="D454" s="23"/>
      <c r="G454" s="21" t="n">
        <f aca="false">K454/3.1416</f>
        <v>3.18309141838554</v>
      </c>
      <c r="H454" s="1" t="n">
        <v>5</v>
      </c>
      <c r="I454" s="1" t="s">
        <v>129</v>
      </c>
      <c r="J454" s="1" t="s">
        <v>271</v>
      </c>
      <c r="K454" s="1" t="n">
        <v>10</v>
      </c>
    </row>
    <row r="455" customFormat="false" ht="14.25" hidden="true" customHeight="false" outlineLevel="0" collapsed="false">
      <c r="A455" s="1" t="n">
        <v>11</v>
      </c>
      <c r="B455" s="1" t="s">
        <v>82</v>
      </c>
      <c r="C455" s="1" t="s">
        <v>93</v>
      </c>
      <c r="D455" s="23"/>
      <c r="G455" s="21" t="n">
        <f aca="false">K455/3.1416</f>
        <v>3.50140056022409</v>
      </c>
      <c r="H455" s="1" t="n">
        <v>5</v>
      </c>
      <c r="I455" s="1" t="s">
        <v>129</v>
      </c>
      <c r="J455" s="1" t="s">
        <v>271</v>
      </c>
      <c r="K455" s="1" t="n">
        <v>11</v>
      </c>
    </row>
    <row r="456" customFormat="false" ht="14.25" hidden="true" customHeight="false" outlineLevel="0" collapsed="false">
      <c r="A456" s="1" t="n">
        <v>11</v>
      </c>
      <c r="B456" s="1" t="s">
        <v>82</v>
      </c>
      <c r="C456" s="1" t="s">
        <v>93</v>
      </c>
      <c r="D456" s="23"/>
      <c r="G456" s="21" t="n">
        <f aca="false">K456/3.1416</f>
        <v>4.1380188439012</v>
      </c>
      <c r="H456" s="1" t="n">
        <v>7</v>
      </c>
      <c r="I456" s="1" t="s">
        <v>129</v>
      </c>
      <c r="J456" s="1" t="s">
        <v>271</v>
      </c>
      <c r="K456" s="1" t="n">
        <v>13</v>
      </c>
    </row>
    <row r="457" customFormat="false" ht="14.25" hidden="true" customHeight="false" outlineLevel="0" collapsed="false">
      <c r="A457" s="1" t="n">
        <v>11</v>
      </c>
      <c r="B457" s="1" t="s">
        <v>82</v>
      </c>
      <c r="C457" s="1" t="s">
        <v>93</v>
      </c>
      <c r="D457" s="23" t="s">
        <v>274</v>
      </c>
      <c r="E457" s="1" t="s">
        <v>275</v>
      </c>
      <c r="F457" s="1" t="s">
        <v>120</v>
      </c>
      <c r="G457" s="21" t="n">
        <f aca="false">K457/3.1416</f>
        <v>3.18309141838554</v>
      </c>
      <c r="H457" s="1" t="n">
        <v>6</v>
      </c>
      <c r="I457" s="1" t="s">
        <v>129</v>
      </c>
      <c r="J457" s="1" t="s">
        <v>271</v>
      </c>
      <c r="K457" s="1" t="n">
        <v>10</v>
      </c>
    </row>
    <row r="458" customFormat="false" ht="14.25" hidden="true" customHeight="false" outlineLevel="0" collapsed="false">
      <c r="A458" s="1" t="n">
        <v>12</v>
      </c>
      <c r="B458" s="1" t="s">
        <v>128</v>
      </c>
      <c r="C458" s="1" t="s">
        <v>93</v>
      </c>
      <c r="D458" s="23" t="s">
        <v>192</v>
      </c>
      <c r="E458" s="1" t="s">
        <v>193</v>
      </c>
      <c r="F458" s="1" t="s">
        <v>120</v>
      </c>
      <c r="G458" s="21" t="n">
        <f aca="false">K458/3.1416</f>
        <v>2.54647313470843</v>
      </c>
      <c r="H458" s="1" t="n">
        <v>2.5</v>
      </c>
      <c r="I458" s="1" t="s">
        <v>129</v>
      </c>
      <c r="J458" s="1" t="s">
        <v>271</v>
      </c>
      <c r="K458" s="1" t="n">
        <v>8</v>
      </c>
    </row>
    <row r="459" customFormat="false" ht="14.25" hidden="true" customHeight="false" outlineLevel="0" collapsed="false">
      <c r="A459" s="1" t="n">
        <v>12</v>
      </c>
      <c r="B459" s="1" t="s">
        <v>128</v>
      </c>
      <c r="C459" s="1" t="s">
        <v>93</v>
      </c>
      <c r="D459" s="23" t="s">
        <v>192</v>
      </c>
      <c r="E459" s="1" t="s">
        <v>193</v>
      </c>
      <c r="F459" s="1" t="s">
        <v>120</v>
      </c>
      <c r="G459" s="21" t="n">
        <f aca="false">K459/3.1416</f>
        <v>3.81970970206264</v>
      </c>
      <c r="H459" s="1" t="n">
        <v>7</v>
      </c>
      <c r="I459" s="1" t="s">
        <v>134</v>
      </c>
      <c r="J459" s="1" t="s">
        <v>271</v>
      </c>
      <c r="K459" s="1" t="n">
        <v>12</v>
      </c>
    </row>
    <row r="460" customFormat="false" ht="14.25" hidden="true" customHeight="false" outlineLevel="0" collapsed="false">
      <c r="A460" s="1" t="n">
        <v>13</v>
      </c>
      <c r="B460" s="1" t="s">
        <v>128</v>
      </c>
      <c r="C460" s="1" t="s">
        <v>93</v>
      </c>
      <c r="D460" s="23"/>
      <c r="G460" s="21" t="n">
        <f aca="false">2*K460/3.1416</f>
        <v>7.00280112044818</v>
      </c>
      <c r="H460" s="1" t="n">
        <v>6</v>
      </c>
      <c r="I460" s="1" t="s">
        <v>129</v>
      </c>
      <c r="J460" s="1" t="s">
        <v>271</v>
      </c>
      <c r="K460" s="1" t="n">
        <v>11</v>
      </c>
    </row>
    <row r="461" customFormat="false" ht="14.25" hidden="true" customHeight="false" outlineLevel="0" collapsed="false">
      <c r="A461" s="1" t="n">
        <v>16</v>
      </c>
      <c r="B461" s="1" t="s">
        <v>131</v>
      </c>
      <c r="C461" s="1" t="s">
        <v>93</v>
      </c>
      <c r="D461" s="23"/>
      <c r="G461" s="21" t="n">
        <f aca="false">K461/3.1416</f>
        <v>2.54647313470843</v>
      </c>
      <c r="H461" s="1" t="n">
        <v>5</v>
      </c>
      <c r="I461" s="1" t="s">
        <v>134</v>
      </c>
      <c r="J461" s="1" t="s">
        <v>271</v>
      </c>
      <c r="K461" s="1" t="n">
        <v>8</v>
      </c>
    </row>
    <row r="462" customFormat="false" ht="14.25" hidden="true" customHeight="false" outlineLevel="0" collapsed="false">
      <c r="A462" s="1" t="n">
        <v>16</v>
      </c>
      <c r="B462" s="1" t="s">
        <v>131</v>
      </c>
      <c r="C462" s="1" t="s">
        <v>93</v>
      </c>
      <c r="D462" s="23" t="s">
        <v>132</v>
      </c>
      <c r="E462" s="1" t="s">
        <v>133</v>
      </c>
      <c r="F462" s="1" t="s">
        <v>120</v>
      </c>
      <c r="G462" s="21" t="n">
        <f aca="false">K462/3.1416</f>
        <v>3.18309141838554</v>
      </c>
      <c r="H462" s="1" t="n">
        <v>5</v>
      </c>
      <c r="I462" s="1" t="s">
        <v>127</v>
      </c>
      <c r="J462" s="1" t="s">
        <v>271</v>
      </c>
      <c r="K462" s="1" t="n">
        <v>10</v>
      </c>
    </row>
    <row r="463" customFormat="false" ht="14.25" hidden="true" customHeight="false" outlineLevel="0" collapsed="false">
      <c r="A463" s="1" t="n">
        <v>16</v>
      </c>
      <c r="B463" s="1" t="s">
        <v>131</v>
      </c>
      <c r="C463" s="1" t="s">
        <v>93</v>
      </c>
      <c r="D463" s="23"/>
      <c r="G463" s="21" t="n">
        <f aca="false">K463/3.1416</f>
        <v>3.50140056022409</v>
      </c>
      <c r="H463" s="1" t="n">
        <v>6</v>
      </c>
      <c r="I463" s="1" t="s">
        <v>127</v>
      </c>
      <c r="J463" s="1" t="s">
        <v>271</v>
      </c>
      <c r="K463" s="1" t="n">
        <v>11</v>
      </c>
    </row>
    <row r="464" customFormat="false" ht="14.25" hidden="true" customHeight="false" outlineLevel="0" collapsed="false">
      <c r="A464" s="1" t="n">
        <v>17</v>
      </c>
      <c r="B464" s="1" t="s">
        <v>128</v>
      </c>
      <c r="C464" s="1" t="s">
        <v>93</v>
      </c>
      <c r="D464" s="23" t="s">
        <v>132</v>
      </c>
      <c r="E464" s="1" t="s">
        <v>133</v>
      </c>
      <c r="F464" s="1" t="s">
        <v>120</v>
      </c>
      <c r="G464" s="21" t="n">
        <f aca="false">K464/3.1416</f>
        <v>3.81970970206264</v>
      </c>
      <c r="H464" s="1" t="n">
        <v>7</v>
      </c>
      <c r="I464" s="1" t="s">
        <v>127</v>
      </c>
      <c r="J464" s="1" t="s">
        <v>271</v>
      </c>
      <c r="K464" s="1" t="n">
        <v>12</v>
      </c>
    </row>
    <row r="465" customFormat="false" ht="14.25" hidden="true" customHeight="false" outlineLevel="0" collapsed="false">
      <c r="A465" s="1" t="n">
        <v>17</v>
      </c>
      <c r="B465" s="1" t="s">
        <v>128</v>
      </c>
      <c r="C465" s="1" t="s">
        <v>93</v>
      </c>
      <c r="D465" s="23" t="s">
        <v>132</v>
      </c>
      <c r="E465" s="1" t="s">
        <v>133</v>
      </c>
      <c r="F465" s="1" t="s">
        <v>120</v>
      </c>
      <c r="G465" s="21" t="n">
        <f aca="false">K465/3.1416</f>
        <v>2.54647313470843</v>
      </c>
      <c r="H465" s="1" t="n">
        <v>4</v>
      </c>
      <c r="I465" s="1" t="s">
        <v>127</v>
      </c>
      <c r="J465" s="1" t="s">
        <v>271</v>
      </c>
      <c r="K465" s="1" t="n">
        <v>8</v>
      </c>
    </row>
    <row r="466" customFormat="false" ht="14.25" hidden="true" customHeight="false" outlineLevel="0" collapsed="false">
      <c r="A466" s="1" t="n">
        <v>17</v>
      </c>
      <c r="B466" s="1" t="s">
        <v>128</v>
      </c>
      <c r="C466" s="1" t="s">
        <v>93</v>
      </c>
      <c r="D466" s="23" t="s">
        <v>132</v>
      </c>
      <c r="E466" s="1" t="s">
        <v>133</v>
      </c>
      <c r="F466" s="1" t="s">
        <v>120</v>
      </c>
      <c r="G466" s="21" t="n">
        <f aca="false">K466/3.1416</f>
        <v>3.81970970206264</v>
      </c>
      <c r="H466" s="1" t="n">
        <v>6</v>
      </c>
      <c r="I466" s="1" t="s">
        <v>127</v>
      </c>
      <c r="J466" s="1" t="s">
        <v>271</v>
      </c>
      <c r="K466" s="1" t="n">
        <v>12</v>
      </c>
    </row>
    <row r="467" customFormat="false" ht="14.25" hidden="true" customHeight="false" outlineLevel="0" collapsed="false">
      <c r="A467" s="1" t="n">
        <v>18</v>
      </c>
      <c r="B467" s="1" t="s">
        <v>128</v>
      </c>
      <c r="C467" s="1" t="s">
        <v>93</v>
      </c>
      <c r="D467" s="23" t="s">
        <v>132</v>
      </c>
      <c r="E467" s="1" t="s">
        <v>133</v>
      </c>
      <c r="F467" s="1" t="s">
        <v>120</v>
      </c>
      <c r="G467" s="21" t="n">
        <f aca="false">K467/3.1416</f>
        <v>2.54647313470843</v>
      </c>
      <c r="H467" s="1" t="n">
        <v>5</v>
      </c>
      <c r="I467" s="1" t="s">
        <v>127</v>
      </c>
      <c r="J467" s="1" t="s">
        <v>271</v>
      </c>
      <c r="K467" s="1" t="n">
        <v>8</v>
      </c>
    </row>
    <row r="468" customFormat="false" ht="14.25" hidden="true" customHeight="false" outlineLevel="0" collapsed="false">
      <c r="A468" s="1" t="n">
        <v>18</v>
      </c>
      <c r="B468" s="1" t="s">
        <v>128</v>
      </c>
      <c r="C468" s="1" t="s">
        <v>93</v>
      </c>
      <c r="D468" s="23"/>
      <c r="G468" s="21" t="n">
        <f aca="false">K468/3.1416</f>
        <v>5.09294626941686</v>
      </c>
      <c r="H468" s="1" t="n">
        <v>8</v>
      </c>
      <c r="I468" s="1" t="s">
        <v>234</v>
      </c>
      <c r="J468" s="1" t="s">
        <v>149</v>
      </c>
      <c r="K468" s="1" t="n">
        <v>16</v>
      </c>
    </row>
    <row r="469" customFormat="false" ht="14.25" hidden="true" customHeight="false" outlineLevel="0" collapsed="false">
      <c r="A469" s="1" t="n">
        <v>18</v>
      </c>
      <c r="B469" s="1" t="s">
        <v>128</v>
      </c>
      <c r="C469" s="1" t="s">
        <v>93</v>
      </c>
      <c r="D469" s="23" t="s">
        <v>132</v>
      </c>
      <c r="E469" s="1" t="s">
        <v>133</v>
      </c>
      <c r="F469" s="1" t="s">
        <v>120</v>
      </c>
      <c r="G469" s="21" t="n">
        <f aca="false">K469/3.1416</f>
        <v>9.23096511331806</v>
      </c>
      <c r="H469" s="1" t="n">
        <v>10</v>
      </c>
      <c r="I469" s="1" t="s">
        <v>129</v>
      </c>
      <c r="J469" s="1" t="s">
        <v>271</v>
      </c>
      <c r="K469" s="1" t="n">
        <v>29</v>
      </c>
    </row>
    <row r="470" customFormat="false" ht="14.25" hidden="true" customHeight="false" outlineLevel="0" collapsed="false">
      <c r="A470" s="1" t="n">
        <v>18</v>
      </c>
      <c r="B470" s="1" t="s">
        <v>128</v>
      </c>
      <c r="C470" s="1" t="s">
        <v>93</v>
      </c>
      <c r="D470" s="23" t="s">
        <v>132</v>
      </c>
      <c r="E470" s="1" t="s">
        <v>133</v>
      </c>
      <c r="F470" s="1" t="s">
        <v>120</v>
      </c>
      <c r="G470" s="21" t="n">
        <f aca="false">K470/3.1416</f>
        <v>4.45632798573975</v>
      </c>
      <c r="H470" s="1" t="n">
        <v>8</v>
      </c>
      <c r="I470" s="1" t="s">
        <v>129</v>
      </c>
      <c r="J470" s="1" t="s">
        <v>271</v>
      </c>
      <c r="K470" s="1" t="n">
        <v>14</v>
      </c>
    </row>
    <row r="471" customFormat="false" ht="14.25" hidden="true" customHeight="false" outlineLevel="0" collapsed="false">
      <c r="A471" s="1" t="n">
        <v>19</v>
      </c>
      <c r="B471" s="1" t="s">
        <v>128</v>
      </c>
      <c r="C471" s="1" t="s">
        <v>93</v>
      </c>
      <c r="D471" s="23" t="s">
        <v>132</v>
      </c>
      <c r="E471" s="1" t="s">
        <v>133</v>
      </c>
      <c r="F471" s="1" t="s">
        <v>120</v>
      </c>
      <c r="G471" s="21" t="n">
        <f aca="false">K471/3.1416</f>
        <v>2.86478227654698</v>
      </c>
      <c r="H471" s="1" t="n">
        <v>5</v>
      </c>
      <c r="I471" s="1" t="s">
        <v>129</v>
      </c>
      <c r="J471" s="1" t="s">
        <v>271</v>
      </c>
      <c r="K471" s="1" t="n">
        <v>9</v>
      </c>
    </row>
    <row r="472" customFormat="false" ht="14.25" hidden="true" customHeight="false" outlineLevel="0" collapsed="false">
      <c r="A472" s="1" t="n">
        <v>20</v>
      </c>
      <c r="B472" s="1" t="s">
        <v>128</v>
      </c>
      <c r="C472" s="1" t="s">
        <v>93</v>
      </c>
      <c r="D472" s="23" t="s">
        <v>276</v>
      </c>
      <c r="E472" s="1" t="s">
        <v>165</v>
      </c>
      <c r="F472" s="1" t="s">
        <v>120</v>
      </c>
      <c r="G472" s="21" t="n">
        <f aca="false">K472/3.1416</f>
        <v>2.86478227654698</v>
      </c>
      <c r="H472" s="1" t="n">
        <v>5</v>
      </c>
      <c r="I472" s="1" t="s">
        <v>129</v>
      </c>
      <c r="J472" s="1" t="s">
        <v>271</v>
      </c>
      <c r="K472" s="1" t="n">
        <v>9</v>
      </c>
    </row>
    <row r="473" customFormat="false" ht="14.25" hidden="true" customHeight="false" outlineLevel="0" collapsed="false">
      <c r="A473" s="1" t="n">
        <v>20</v>
      </c>
      <c r="B473" s="1" t="s">
        <v>128</v>
      </c>
      <c r="C473" s="1" t="s">
        <v>93</v>
      </c>
      <c r="D473" s="23" t="s">
        <v>132</v>
      </c>
      <c r="E473" s="1" t="s">
        <v>133</v>
      </c>
      <c r="F473" s="1" t="s">
        <v>120</v>
      </c>
      <c r="G473" s="21" t="n">
        <f aca="false">K473/3.1416</f>
        <v>2.54647313470843</v>
      </c>
      <c r="H473" s="1" t="n">
        <v>5</v>
      </c>
      <c r="I473" s="1" t="s">
        <v>129</v>
      </c>
      <c r="J473" s="1" t="s">
        <v>271</v>
      </c>
      <c r="K473" s="1" t="n">
        <v>8</v>
      </c>
    </row>
    <row r="474" customFormat="false" ht="14.25" hidden="true" customHeight="false" outlineLevel="0" collapsed="false">
      <c r="A474" s="1" t="n">
        <v>20</v>
      </c>
      <c r="B474" s="1" t="s">
        <v>128</v>
      </c>
      <c r="C474" s="1" t="s">
        <v>93</v>
      </c>
      <c r="D474" s="23" t="s">
        <v>132</v>
      </c>
      <c r="E474" s="1" t="s">
        <v>133</v>
      </c>
      <c r="F474" s="1" t="s">
        <v>120</v>
      </c>
      <c r="G474" s="21" t="n">
        <f aca="false">K474/3.1416</f>
        <v>7.95772854596384</v>
      </c>
      <c r="H474" s="1" t="n">
        <v>7</v>
      </c>
      <c r="I474" s="1" t="s">
        <v>129</v>
      </c>
      <c r="J474" s="1" t="s">
        <v>271</v>
      </c>
      <c r="K474" s="1" t="n">
        <v>25</v>
      </c>
    </row>
    <row r="475" customFormat="false" ht="14.25" hidden="true" customHeight="false" outlineLevel="0" collapsed="false">
      <c r="A475" s="1" t="n">
        <v>20</v>
      </c>
      <c r="B475" s="1" t="s">
        <v>128</v>
      </c>
      <c r="C475" s="1" t="s">
        <v>93</v>
      </c>
      <c r="D475" s="23" t="s">
        <v>132</v>
      </c>
      <c r="E475" s="1" t="s">
        <v>133</v>
      </c>
      <c r="F475" s="1" t="s">
        <v>120</v>
      </c>
      <c r="G475" s="21" t="n">
        <f aca="false">K475/3.1416</f>
        <v>3.18309141838554</v>
      </c>
      <c r="H475" s="1" t="n">
        <v>5</v>
      </c>
      <c r="I475" s="1" t="s">
        <v>129</v>
      </c>
      <c r="J475" s="1" t="s">
        <v>271</v>
      </c>
      <c r="K475" s="1" t="n">
        <v>10</v>
      </c>
    </row>
    <row r="476" customFormat="false" ht="14.25" hidden="true" customHeight="false" outlineLevel="0" collapsed="false">
      <c r="A476" s="1" t="n">
        <v>20</v>
      </c>
      <c r="B476" s="1" t="s">
        <v>128</v>
      </c>
      <c r="C476" s="1" t="s">
        <v>93</v>
      </c>
      <c r="D476" s="23" t="s">
        <v>132</v>
      </c>
      <c r="E476" s="1" t="s">
        <v>133</v>
      </c>
      <c r="F476" s="1" t="s">
        <v>120</v>
      </c>
      <c r="G476" s="21" t="n">
        <f aca="false">K476/3.1416</f>
        <v>3.18309141838554</v>
      </c>
      <c r="H476" s="1" t="n">
        <v>4</v>
      </c>
      <c r="I476" s="1" t="s">
        <v>129</v>
      </c>
      <c r="J476" s="1" t="s">
        <v>271</v>
      </c>
      <c r="K476" s="1" t="n">
        <v>10</v>
      </c>
    </row>
    <row r="477" customFormat="false" ht="14.25" hidden="true" customHeight="false" outlineLevel="0" collapsed="false">
      <c r="A477" s="1" t="n">
        <v>20</v>
      </c>
      <c r="B477" s="1" t="s">
        <v>128</v>
      </c>
      <c r="C477" s="1" t="s">
        <v>93</v>
      </c>
      <c r="D477" s="23" t="s">
        <v>132</v>
      </c>
      <c r="E477" s="1" t="s">
        <v>133</v>
      </c>
      <c r="F477" s="1" t="s">
        <v>120</v>
      </c>
      <c r="G477" s="21" t="n">
        <f aca="false">K477/3.1416</f>
        <v>3.18309141838554</v>
      </c>
      <c r="H477" s="1" t="n">
        <v>6</v>
      </c>
      <c r="I477" s="1" t="s">
        <v>129</v>
      </c>
      <c r="J477" s="1" t="s">
        <v>271</v>
      </c>
      <c r="K477" s="1" t="n">
        <v>10</v>
      </c>
    </row>
    <row r="478" customFormat="false" ht="14.25" hidden="true" customHeight="false" outlineLevel="0" collapsed="false">
      <c r="A478" s="1" t="n">
        <v>20</v>
      </c>
      <c r="B478" s="1" t="s">
        <v>128</v>
      </c>
      <c r="C478" s="1" t="s">
        <v>93</v>
      </c>
      <c r="D478" s="23" t="s">
        <v>132</v>
      </c>
      <c r="E478" s="1" t="s">
        <v>133</v>
      </c>
      <c r="F478" s="1" t="s">
        <v>120</v>
      </c>
      <c r="G478" s="21" t="n">
        <f aca="false">K478/3.1416</f>
        <v>2.54647313470843</v>
      </c>
      <c r="H478" s="1" t="n">
        <v>3.5</v>
      </c>
      <c r="I478" s="1" t="s">
        <v>129</v>
      </c>
      <c r="J478" s="1" t="s">
        <v>271</v>
      </c>
      <c r="K478" s="1" t="n">
        <v>8</v>
      </c>
    </row>
    <row r="479" customFormat="false" ht="14.25" hidden="true" customHeight="false" outlineLevel="0" collapsed="false">
      <c r="A479" s="1" t="n">
        <v>20</v>
      </c>
      <c r="B479" s="1" t="s">
        <v>128</v>
      </c>
      <c r="C479" s="1" t="s">
        <v>93</v>
      </c>
      <c r="D479" s="23" t="s">
        <v>132</v>
      </c>
      <c r="E479" s="1" t="s">
        <v>133</v>
      </c>
      <c r="F479" s="1" t="s">
        <v>120</v>
      </c>
      <c r="G479" s="21" t="n">
        <f aca="false">K479/3.1416</f>
        <v>3.18309141838554</v>
      </c>
      <c r="H479" s="1" t="n">
        <v>5</v>
      </c>
      <c r="I479" s="1" t="s">
        <v>129</v>
      </c>
      <c r="J479" s="1" t="s">
        <v>271</v>
      </c>
      <c r="K479" s="1" t="n">
        <v>10</v>
      </c>
    </row>
    <row r="480" customFormat="false" ht="14.25" hidden="true" customHeight="false" outlineLevel="0" collapsed="false">
      <c r="A480" s="1" t="n">
        <v>20</v>
      </c>
      <c r="B480" s="1" t="s">
        <v>128</v>
      </c>
      <c r="C480" s="1" t="s">
        <v>93</v>
      </c>
      <c r="D480" s="23"/>
      <c r="G480" s="21" t="n">
        <f aca="false">K480/3.1416</f>
        <v>2.54647313470843</v>
      </c>
      <c r="H480" s="1" t="n">
        <v>4</v>
      </c>
      <c r="I480" s="1" t="s">
        <v>127</v>
      </c>
      <c r="J480" s="1" t="s">
        <v>271</v>
      </c>
      <c r="K480" s="1" t="n">
        <v>8</v>
      </c>
    </row>
    <row r="481" customFormat="false" ht="14.25" hidden="true" customHeight="false" outlineLevel="0" collapsed="false">
      <c r="A481" s="1" t="n">
        <v>21</v>
      </c>
      <c r="B481" s="1" t="s">
        <v>135</v>
      </c>
      <c r="C481" s="1" t="s">
        <v>93</v>
      </c>
      <c r="D481" s="23"/>
      <c r="G481" s="21" t="n">
        <f aca="false">K481/3.1416</f>
        <v>2.86478227654698</v>
      </c>
      <c r="H481" s="1" t="n">
        <v>3</v>
      </c>
      <c r="I481" s="1" t="s">
        <v>127</v>
      </c>
      <c r="J481" s="1" t="s">
        <v>271</v>
      </c>
      <c r="K481" s="1" t="n">
        <v>9</v>
      </c>
    </row>
    <row r="482" customFormat="false" ht="14.25" hidden="true" customHeight="false" outlineLevel="0" collapsed="false">
      <c r="A482" s="1" t="n">
        <v>21</v>
      </c>
      <c r="B482" s="1" t="s">
        <v>135</v>
      </c>
      <c r="C482" s="1" t="s">
        <v>93</v>
      </c>
      <c r="D482" s="23" t="s">
        <v>132</v>
      </c>
      <c r="E482" s="1" t="s">
        <v>133</v>
      </c>
      <c r="F482" s="1" t="s">
        <v>120</v>
      </c>
      <c r="G482" s="21" t="n">
        <f aca="false">K482/3.1416</f>
        <v>4.7746371275783</v>
      </c>
      <c r="H482" s="1" t="n">
        <v>6</v>
      </c>
      <c r="I482" s="1" t="s">
        <v>129</v>
      </c>
      <c r="J482" s="1" t="s">
        <v>271</v>
      </c>
      <c r="K482" s="1" t="n">
        <v>15</v>
      </c>
    </row>
    <row r="483" customFormat="false" ht="14.25" hidden="true" customHeight="false" outlineLevel="0" collapsed="false">
      <c r="A483" s="1" t="n">
        <v>21</v>
      </c>
      <c r="B483" s="1" t="s">
        <v>135</v>
      </c>
      <c r="C483" s="1" t="s">
        <v>93</v>
      </c>
      <c r="D483" s="23"/>
      <c r="G483" s="21" t="n">
        <f aca="false">K483/3.1416</f>
        <v>6.36618283677107</v>
      </c>
      <c r="H483" s="1" t="n">
        <v>6</v>
      </c>
      <c r="I483" s="1" t="s">
        <v>129</v>
      </c>
      <c r="J483" s="1" t="s">
        <v>271</v>
      </c>
      <c r="K483" s="1" t="n">
        <v>20</v>
      </c>
    </row>
    <row r="484" customFormat="false" ht="14.25" hidden="true" customHeight="false" outlineLevel="0" collapsed="false">
      <c r="A484" s="1" t="n">
        <v>22</v>
      </c>
      <c r="B484" s="1" t="s">
        <v>135</v>
      </c>
      <c r="C484" s="1" t="s">
        <v>93</v>
      </c>
      <c r="D484" s="23" t="s">
        <v>132</v>
      </c>
      <c r="E484" s="1" t="s">
        <v>133</v>
      </c>
      <c r="F484" s="1" t="s">
        <v>120</v>
      </c>
      <c r="G484" s="21" t="n">
        <f aca="false">K484/3.1416</f>
        <v>2.86478227654698</v>
      </c>
      <c r="H484" s="1" t="n">
        <v>6</v>
      </c>
      <c r="I484" s="1" t="s">
        <v>134</v>
      </c>
      <c r="J484" s="1" t="s">
        <v>271</v>
      </c>
      <c r="K484" s="1" t="n">
        <v>9</v>
      </c>
    </row>
    <row r="485" customFormat="false" ht="14.25" hidden="true" customHeight="false" outlineLevel="0" collapsed="false">
      <c r="A485" s="1" t="n">
        <v>22</v>
      </c>
      <c r="B485" s="1" t="s">
        <v>135</v>
      </c>
      <c r="C485" s="1" t="s">
        <v>93</v>
      </c>
      <c r="D485" s="23"/>
      <c r="G485" s="21" t="n">
        <f aca="false">K485/3.1416</f>
        <v>3.02393684746626</v>
      </c>
      <c r="H485" s="1" t="n">
        <v>5</v>
      </c>
      <c r="I485" s="1" t="s">
        <v>127</v>
      </c>
      <c r="J485" s="1" t="s">
        <v>271</v>
      </c>
      <c r="K485" s="1" t="n">
        <v>9.5</v>
      </c>
    </row>
    <row r="486" customFormat="false" ht="14.25" hidden="true" customHeight="false" outlineLevel="0" collapsed="false">
      <c r="A486" s="1" t="n">
        <v>24</v>
      </c>
      <c r="B486" s="1" t="s">
        <v>135</v>
      </c>
      <c r="C486" s="1" t="s">
        <v>93</v>
      </c>
      <c r="D486" s="23" t="s">
        <v>132</v>
      </c>
      <c r="E486" s="1" t="s">
        <v>133</v>
      </c>
      <c r="F486" s="1" t="s">
        <v>120</v>
      </c>
      <c r="G486" s="21" t="n">
        <f aca="false">K486/3.1416</f>
        <v>2.54647313470843</v>
      </c>
      <c r="H486" s="1" t="n">
        <v>3</v>
      </c>
      <c r="I486" s="1" t="s">
        <v>127</v>
      </c>
      <c r="J486" s="1" t="s">
        <v>271</v>
      </c>
      <c r="K486" s="1" t="n">
        <v>8</v>
      </c>
    </row>
    <row r="487" customFormat="false" ht="14.25" hidden="true" customHeight="false" outlineLevel="0" collapsed="false">
      <c r="A487" s="1" t="n">
        <v>24</v>
      </c>
      <c r="B487" s="1" t="s">
        <v>135</v>
      </c>
      <c r="C487" s="1" t="s">
        <v>93</v>
      </c>
      <c r="D487" s="23" t="s">
        <v>273</v>
      </c>
      <c r="E487" s="1" t="s">
        <v>133</v>
      </c>
      <c r="F487" s="1" t="s">
        <v>138</v>
      </c>
      <c r="G487" s="21" t="n">
        <f aca="false">K487/3.1416</f>
        <v>2.54647313470843</v>
      </c>
      <c r="H487" s="1" t="n">
        <v>3</v>
      </c>
      <c r="I487" s="1" t="s">
        <v>127</v>
      </c>
      <c r="J487" s="1" t="s">
        <v>271</v>
      </c>
      <c r="K487" s="1" t="n">
        <v>8</v>
      </c>
    </row>
    <row r="488" customFormat="false" ht="14.25" hidden="true" customHeight="false" outlineLevel="0" collapsed="false">
      <c r="A488" s="1" t="n">
        <v>27</v>
      </c>
      <c r="B488" s="1" t="s">
        <v>82</v>
      </c>
      <c r="C488" s="1" t="s">
        <v>93</v>
      </c>
      <c r="D488" s="23" t="s">
        <v>132</v>
      </c>
      <c r="E488" s="1" t="s">
        <v>133</v>
      </c>
      <c r="F488" s="1" t="s">
        <v>120</v>
      </c>
      <c r="G488" s="21" t="n">
        <f aca="false">K488/3.1416</f>
        <v>5.72956455309397</v>
      </c>
      <c r="H488" s="1" t="n">
        <v>12</v>
      </c>
      <c r="I488" s="1" t="s">
        <v>129</v>
      </c>
      <c r="J488" s="1" t="s">
        <v>271</v>
      </c>
      <c r="K488" s="1" t="n">
        <v>18</v>
      </c>
    </row>
    <row r="489" customFormat="false" ht="14.25" hidden="true" customHeight="false" outlineLevel="0" collapsed="false">
      <c r="A489" s="1" t="n">
        <v>27</v>
      </c>
      <c r="B489" s="1" t="s">
        <v>82</v>
      </c>
      <c r="C489" s="1" t="s">
        <v>93</v>
      </c>
      <c r="D489" s="23" t="s">
        <v>132</v>
      </c>
      <c r="E489" s="1" t="s">
        <v>133</v>
      </c>
      <c r="F489" s="1" t="s">
        <v>120</v>
      </c>
      <c r="G489" s="21" t="n">
        <f aca="false">K489/3.1416</f>
        <v>7.00280112044818</v>
      </c>
      <c r="H489" s="1" t="n">
        <v>12</v>
      </c>
      <c r="I489" s="1" t="s">
        <v>129</v>
      </c>
      <c r="J489" s="1" t="s">
        <v>271</v>
      </c>
      <c r="K489" s="1" t="n">
        <v>22</v>
      </c>
    </row>
    <row r="490" customFormat="false" ht="14.25" hidden="true" customHeight="false" outlineLevel="0" collapsed="false">
      <c r="A490" s="1" t="n">
        <v>27</v>
      </c>
      <c r="B490" s="1" t="s">
        <v>82</v>
      </c>
      <c r="C490" s="1" t="s">
        <v>93</v>
      </c>
      <c r="D490" s="23" t="s">
        <v>132</v>
      </c>
      <c r="E490" s="1" t="s">
        <v>133</v>
      </c>
      <c r="F490" s="1" t="s">
        <v>120</v>
      </c>
      <c r="G490" s="21" t="n">
        <f aca="false">K490/3.1416</f>
        <v>2.54647313470843</v>
      </c>
      <c r="H490" s="1" t="n">
        <v>5</v>
      </c>
      <c r="I490" s="1" t="s">
        <v>129</v>
      </c>
      <c r="J490" s="1" t="s">
        <v>271</v>
      </c>
      <c r="K490" s="1" t="n">
        <v>8</v>
      </c>
    </row>
    <row r="491" customFormat="false" ht="14.25" hidden="true" customHeight="false" outlineLevel="0" collapsed="false">
      <c r="A491" s="1" t="n">
        <v>27</v>
      </c>
      <c r="B491" s="1" t="s">
        <v>82</v>
      </c>
      <c r="C491" s="1" t="s">
        <v>93</v>
      </c>
      <c r="D491" s="23" t="s">
        <v>132</v>
      </c>
      <c r="E491" s="1" t="s">
        <v>133</v>
      </c>
      <c r="F491" s="1" t="s">
        <v>120</v>
      </c>
      <c r="G491" s="21" t="n">
        <f aca="false">K491/3.1416</f>
        <v>1.90985485103132</v>
      </c>
      <c r="H491" s="1" t="n">
        <v>9</v>
      </c>
      <c r="I491" s="1" t="s">
        <v>129</v>
      </c>
      <c r="J491" s="1" t="s">
        <v>271</v>
      </c>
      <c r="K491" s="1" t="n">
        <v>6</v>
      </c>
    </row>
    <row r="492" customFormat="false" ht="14.25" hidden="true" customHeight="false" outlineLevel="0" collapsed="false">
      <c r="A492" s="1" t="n">
        <v>28</v>
      </c>
      <c r="B492" s="1" t="s">
        <v>82</v>
      </c>
      <c r="C492" s="1" t="s">
        <v>93</v>
      </c>
      <c r="D492" s="23"/>
      <c r="E492" s="1" t="s">
        <v>174</v>
      </c>
      <c r="F492" s="1" t="s">
        <v>120</v>
      </c>
      <c r="G492" s="21" t="n">
        <f aca="false">K492/3.1416</f>
        <v>2.54647313470843</v>
      </c>
      <c r="H492" s="1" t="n">
        <v>4</v>
      </c>
      <c r="I492" s="1" t="s">
        <v>127</v>
      </c>
      <c r="J492" s="1" t="s">
        <v>271</v>
      </c>
      <c r="K492" s="1" t="n">
        <v>8</v>
      </c>
    </row>
    <row r="493" customFormat="false" ht="14.25" hidden="true" customHeight="false" outlineLevel="0" collapsed="false">
      <c r="A493" s="1" t="n">
        <v>29</v>
      </c>
      <c r="B493" s="1" t="s">
        <v>131</v>
      </c>
      <c r="C493" s="1" t="s">
        <v>93</v>
      </c>
      <c r="D493" s="23"/>
      <c r="G493" s="21" t="n">
        <f aca="false">K493/3.1416</f>
        <v>2.54647313470843</v>
      </c>
      <c r="H493" s="1" t="n">
        <v>5</v>
      </c>
      <c r="I493" s="1" t="s">
        <v>129</v>
      </c>
      <c r="J493" s="1" t="s">
        <v>271</v>
      </c>
      <c r="K493" s="1" t="n">
        <v>8</v>
      </c>
    </row>
    <row r="494" customFormat="false" ht="14.25" hidden="true" customHeight="false" outlineLevel="0" collapsed="false">
      <c r="A494" s="1" t="n">
        <v>29</v>
      </c>
      <c r="B494" s="1" t="s">
        <v>131</v>
      </c>
      <c r="C494" s="1" t="s">
        <v>93</v>
      </c>
      <c r="D494" s="23" t="s">
        <v>132</v>
      </c>
      <c r="E494" s="1" t="s">
        <v>133</v>
      </c>
      <c r="F494" s="1" t="s">
        <v>120</v>
      </c>
      <c r="G494" s="21" t="n">
        <f aca="false">K494/3.1416</f>
        <v>2.54647313470843</v>
      </c>
      <c r="H494" s="1" t="n">
        <v>4</v>
      </c>
      <c r="I494" s="1" t="s">
        <v>129</v>
      </c>
      <c r="J494" s="1" t="s">
        <v>271</v>
      </c>
      <c r="K494" s="1" t="n">
        <v>8</v>
      </c>
    </row>
    <row r="495" customFormat="false" ht="14.25" hidden="true" customHeight="false" outlineLevel="0" collapsed="false">
      <c r="A495" s="1" t="n">
        <v>29</v>
      </c>
      <c r="B495" s="1" t="s">
        <v>131</v>
      </c>
      <c r="C495" s="1" t="s">
        <v>93</v>
      </c>
      <c r="D495" s="23" t="s">
        <v>132</v>
      </c>
      <c r="E495" s="1" t="s">
        <v>133</v>
      </c>
      <c r="F495" s="1" t="s">
        <v>120</v>
      </c>
      <c r="G495" s="21" t="n">
        <f aca="false">K495/3.1416</f>
        <v>2.54647313470843</v>
      </c>
      <c r="H495" s="1" t="n">
        <v>4</v>
      </c>
      <c r="I495" s="1" t="s">
        <v>127</v>
      </c>
      <c r="J495" s="1" t="s">
        <v>271</v>
      </c>
      <c r="K495" s="1" t="n">
        <v>8</v>
      </c>
    </row>
    <row r="496" customFormat="false" ht="14.25" hidden="true" customHeight="false" outlineLevel="0" collapsed="false">
      <c r="A496" s="1" t="n">
        <v>30</v>
      </c>
      <c r="B496" s="1" t="s">
        <v>131</v>
      </c>
      <c r="C496" s="1" t="s">
        <v>93</v>
      </c>
      <c r="D496" s="23" t="s">
        <v>273</v>
      </c>
      <c r="E496" s="1" t="s">
        <v>133</v>
      </c>
      <c r="F496" s="1" t="s">
        <v>138</v>
      </c>
      <c r="G496" s="21" t="n">
        <f aca="false">K496/3.1416</f>
        <v>2.54647313470843</v>
      </c>
      <c r="H496" s="1" t="n">
        <v>5</v>
      </c>
      <c r="I496" s="1" t="s">
        <v>129</v>
      </c>
      <c r="J496" s="1" t="s">
        <v>271</v>
      </c>
      <c r="K496" s="1" t="n">
        <v>8</v>
      </c>
    </row>
    <row r="497" customFormat="false" ht="14.25" hidden="true" customHeight="false" outlineLevel="0" collapsed="false">
      <c r="A497" s="1" t="n">
        <v>31</v>
      </c>
      <c r="B497" s="1" t="s">
        <v>131</v>
      </c>
      <c r="C497" s="1" t="s">
        <v>93</v>
      </c>
      <c r="D497" s="23" t="s">
        <v>132</v>
      </c>
      <c r="E497" s="1" t="s">
        <v>133</v>
      </c>
      <c r="F497" s="1" t="s">
        <v>120</v>
      </c>
      <c r="G497" s="21" t="n">
        <f aca="false">K497/3.1416</f>
        <v>2.54647313470843</v>
      </c>
      <c r="H497" s="1" t="n">
        <v>6</v>
      </c>
      <c r="I497" s="1" t="s">
        <v>129</v>
      </c>
      <c r="J497" s="1" t="s">
        <v>271</v>
      </c>
      <c r="K497" s="1" t="n">
        <v>8</v>
      </c>
    </row>
    <row r="498" customFormat="false" ht="14.25" hidden="true" customHeight="false" outlineLevel="0" collapsed="false">
      <c r="A498" s="1" t="n">
        <v>31</v>
      </c>
      <c r="B498" s="1" t="s">
        <v>131</v>
      </c>
      <c r="C498" s="1" t="s">
        <v>93</v>
      </c>
      <c r="D498" s="23" t="s">
        <v>132</v>
      </c>
      <c r="E498" s="1" t="s">
        <v>133</v>
      </c>
      <c r="F498" s="1" t="s">
        <v>120</v>
      </c>
      <c r="G498" s="21" t="n">
        <f aca="false">K498/3.1416</f>
        <v>3.81970970206264</v>
      </c>
      <c r="H498" s="1" t="n">
        <v>6</v>
      </c>
      <c r="I498" s="1" t="s">
        <v>127</v>
      </c>
      <c r="J498" s="1" t="s">
        <v>271</v>
      </c>
      <c r="K498" s="1" t="n">
        <v>12</v>
      </c>
    </row>
    <row r="499" customFormat="false" ht="14.25" hidden="true" customHeight="false" outlineLevel="0" collapsed="false">
      <c r="A499" s="1" t="n">
        <v>31</v>
      </c>
      <c r="B499" s="1" t="s">
        <v>131</v>
      </c>
      <c r="C499" s="1" t="s">
        <v>93</v>
      </c>
      <c r="D499" s="23" t="s">
        <v>277</v>
      </c>
      <c r="E499" s="1" t="s">
        <v>167</v>
      </c>
      <c r="F499" s="1" t="s">
        <v>138</v>
      </c>
      <c r="G499" s="21" t="n">
        <f aca="false">K499/3.1416</f>
        <v>2.54647313470843</v>
      </c>
      <c r="H499" s="1" t="n">
        <v>4</v>
      </c>
      <c r="I499" s="1" t="s">
        <v>129</v>
      </c>
      <c r="J499" s="1" t="s">
        <v>271</v>
      </c>
      <c r="K499" s="1" t="n">
        <v>8</v>
      </c>
    </row>
    <row r="500" customFormat="false" ht="14.25" hidden="true" customHeight="false" outlineLevel="0" collapsed="false">
      <c r="A500" s="1" t="n">
        <v>31</v>
      </c>
      <c r="B500" s="1" t="s">
        <v>131</v>
      </c>
      <c r="C500" s="1" t="s">
        <v>93</v>
      </c>
      <c r="D500" s="23" t="s">
        <v>277</v>
      </c>
      <c r="E500" s="1" t="s">
        <v>167</v>
      </c>
      <c r="F500" s="1" t="s">
        <v>138</v>
      </c>
      <c r="G500" s="21" t="n">
        <f aca="false">K500/3.1416</f>
        <v>2.86478227654698</v>
      </c>
      <c r="H500" s="1" t="n">
        <v>6</v>
      </c>
      <c r="I500" s="1" t="s">
        <v>127</v>
      </c>
      <c r="J500" s="1" t="s">
        <v>271</v>
      </c>
      <c r="K500" s="1" t="n">
        <v>9</v>
      </c>
    </row>
    <row r="501" customFormat="false" ht="14.25" hidden="true" customHeight="false" outlineLevel="0" collapsed="false">
      <c r="A501" s="1" t="n">
        <v>31</v>
      </c>
      <c r="B501" s="1" t="s">
        <v>131</v>
      </c>
      <c r="C501" s="1" t="s">
        <v>93</v>
      </c>
      <c r="D501" s="23"/>
      <c r="G501" s="21" t="n">
        <f aca="false">K501/3.1416</f>
        <v>2.54647313470843</v>
      </c>
      <c r="H501" s="1" t="n">
        <v>4</v>
      </c>
      <c r="I501" s="1" t="s">
        <v>127</v>
      </c>
      <c r="J501" s="1" t="s">
        <v>271</v>
      </c>
      <c r="K501" s="1" t="n">
        <v>8</v>
      </c>
    </row>
    <row r="502" customFormat="false" ht="14.25" hidden="true" customHeight="false" outlineLevel="0" collapsed="false">
      <c r="A502" s="1" t="n">
        <v>31</v>
      </c>
      <c r="B502" s="1" t="s">
        <v>131</v>
      </c>
      <c r="C502" s="1" t="s">
        <v>93</v>
      </c>
      <c r="D502" s="23" t="s">
        <v>132</v>
      </c>
      <c r="E502" s="1" t="s">
        <v>133</v>
      </c>
      <c r="F502" s="1" t="s">
        <v>120</v>
      </c>
      <c r="G502" s="21" t="n">
        <f aca="false">K502/3.1416</f>
        <v>6.36618283677107</v>
      </c>
      <c r="H502" s="1" t="n">
        <v>8</v>
      </c>
      <c r="I502" s="1" t="s">
        <v>127</v>
      </c>
      <c r="J502" s="1" t="s">
        <v>271</v>
      </c>
      <c r="K502" s="1" t="n">
        <v>20</v>
      </c>
    </row>
    <row r="503" customFormat="false" ht="14.25" hidden="true" customHeight="false" outlineLevel="0" collapsed="false">
      <c r="A503" s="1" t="n">
        <v>1</v>
      </c>
      <c r="B503" s="1" t="s">
        <v>72</v>
      </c>
      <c r="C503" s="1" t="s">
        <v>93</v>
      </c>
      <c r="D503" s="23" t="s">
        <v>132</v>
      </c>
      <c r="E503" s="1" t="s">
        <v>133</v>
      </c>
      <c r="F503" s="1" t="s">
        <v>120</v>
      </c>
      <c r="G503" s="21" t="n">
        <f aca="false">ROUND(K503/PI(),0)</f>
        <v>4</v>
      </c>
      <c r="H503" s="1" t="n">
        <v>7</v>
      </c>
      <c r="I503" s="1" t="s">
        <v>127</v>
      </c>
      <c r="J503" s="1" t="s">
        <v>162</v>
      </c>
      <c r="K503" s="1" t="n">
        <v>12</v>
      </c>
    </row>
    <row r="504" customFormat="false" ht="14.25" hidden="true" customHeight="false" outlineLevel="0" collapsed="false">
      <c r="A504" s="1" t="n">
        <v>2</v>
      </c>
      <c r="B504" s="1" t="s">
        <v>72</v>
      </c>
      <c r="C504" s="1" t="s">
        <v>93</v>
      </c>
      <c r="D504" s="23" t="s">
        <v>272</v>
      </c>
      <c r="E504" s="1" t="s">
        <v>156</v>
      </c>
      <c r="F504" s="1" t="s">
        <v>120</v>
      </c>
      <c r="G504" s="21" t="n">
        <f aca="false">ROUND(K504/PI(),0)</f>
        <v>3</v>
      </c>
      <c r="H504" s="1" t="n">
        <v>5</v>
      </c>
      <c r="I504" s="1" t="s">
        <v>129</v>
      </c>
      <c r="J504" s="1" t="s">
        <v>162</v>
      </c>
      <c r="K504" s="1" t="n">
        <v>10</v>
      </c>
    </row>
    <row r="505" customFormat="false" ht="14.25" hidden="true" customHeight="false" outlineLevel="0" collapsed="false">
      <c r="A505" s="1" t="n">
        <v>2</v>
      </c>
      <c r="B505" s="1" t="s">
        <v>72</v>
      </c>
      <c r="C505" s="1" t="s">
        <v>93</v>
      </c>
      <c r="D505" s="23" t="s">
        <v>278</v>
      </c>
      <c r="E505" s="1" t="s">
        <v>145</v>
      </c>
      <c r="F505" s="1" t="s">
        <v>197</v>
      </c>
      <c r="G505" s="21" t="n">
        <f aca="false">ROUND(K505/PI(),0)</f>
        <v>4</v>
      </c>
      <c r="H505" s="1" t="n">
        <v>6</v>
      </c>
      <c r="I505" s="1" t="s">
        <v>129</v>
      </c>
      <c r="J505" s="1" t="s">
        <v>162</v>
      </c>
      <c r="K505" s="1" t="n">
        <v>12</v>
      </c>
    </row>
    <row r="506" customFormat="false" ht="14.25" hidden="true" customHeight="false" outlineLevel="0" collapsed="false">
      <c r="A506" s="1" t="n">
        <v>2</v>
      </c>
      <c r="B506" s="1" t="s">
        <v>72</v>
      </c>
      <c r="C506" s="1" t="s">
        <v>93</v>
      </c>
      <c r="D506" s="23" t="s">
        <v>278</v>
      </c>
      <c r="E506" s="1" t="s">
        <v>145</v>
      </c>
      <c r="F506" s="1" t="s">
        <v>197</v>
      </c>
      <c r="G506" s="21" t="n">
        <f aca="false">ROUND(K506/PI(),0)</f>
        <v>3</v>
      </c>
      <c r="H506" s="1" t="n">
        <v>5</v>
      </c>
      <c r="I506" s="1" t="s">
        <v>129</v>
      </c>
      <c r="J506" s="1" t="s">
        <v>162</v>
      </c>
      <c r="K506" s="1" t="n">
        <v>10</v>
      </c>
    </row>
    <row r="507" customFormat="false" ht="14.25" hidden="true" customHeight="false" outlineLevel="0" collapsed="false">
      <c r="A507" s="1" t="n">
        <v>2</v>
      </c>
      <c r="B507" s="1" t="s">
        <v>72</v>
      </c>
      <c r="C507" s="1" t="s">
        <v>93</v>
      </c>
      <c r="D507" s="23"/>
      <c r="G507" s="21" t="n">
        <f aca="false">ROUND(K507/PI(),0)</f>
        <v>5</v>
      </c>
      <c r="H507" s="1" t="n">
        <v>6</v>
      </c>
      <c r="I507" s="1" t="s">
        <v>127</v>
      </c>
      <c r="J507" s="1" t="s">
        <v>162</v>
      </c>
      <c r="K507" s="1" t="n">
        <v>15</v>
      </c>
    </row>
    <row r="508" customFormat="false" ht="14.25" hidden="true" customHeight="false" outlineLevel="0" collapsed="false">
      <c r="A508" s="1" t="n">
        <v>3</v>
      </c>
      <c r="B508" s="1" t="s">
        <v>82</v>
      </c>
      <c r="C508" s="1" t="s">
        <v>93</v>
      </c>
      <c r="D508" s="23" t="s">
        <v>132</v>
      </c>
      <c r="E508" s="1" t="s">
        <v>133</v>
      </c>
      <c r="F508" s="1" t="s">
        <v>120</v>
      </c>
      <c r="G508" s="21" t="n">
        <f aca="false">ROUND(K508/PI(),0)</f>
        <v>3</v>
      </c>
      <c r="H508" s="1" t="n">
        <v>6</v>
      </c>
      <c r="I508" s="1" t="s">
        <v>129</v>
      </c>
      <c r="J508" s="1" t="s">
        <v>141</v>
      </c>
      <c r="K508" s="1" t="n">
        <v>9</v>
      </c>
    </row>
    <row r="509" customFormat="false" ht="14.25" hidden="true" customHeight="false" outlineLevel="0" collapsed="false">
      <c r="A509" s="1" t="n">
        <v>4</v>
      </c>
      <c r="B509" s="1" t="s">
        <v>82</v>
      </c>
      <c r="C509" s="1" t="s">
        <v>93</v>
      </c>
      <c r="D509" s="23"/>
      <c r="G509" s="21" t="n">
        <f aca="false">ROUND(K509/PI(),0)</f>
        <v>3</v>
      </c>
      <c r="H509" s="1" t="n">
        <v>4</v>
      </c>
      <c r="I509" s="1" t="s">
        <v>129</v>
      </c>
      <c r="J509" s="1" t="s">
        <v>162</v>
      </c>
      <c r="K509" s="1" t="n">
        <v>9</v>
      </c>
    </row>
    <row r="510" customFormat="false" ht="14.25" hidden="true" customHeight="false" outlineLevel="0" collapsed="false">
      <c r="A510" s="1" t="n">
        <v>5</v>
      </c>
      <c r="B510" s="1" t="s">
        <v>92</v>
      </c>
      <c r="C510" s="1" t="s">
        <v>93</v>
      </c>
      <c r="D510" s="23"/>
      <c r="G510" s="21" t="n">
        <f aca="false">ROUND(K510/PI(),0)</f>
        <v>37</v>
      </c>
      <c r="H510" s="1" t="n">
        <v>15</v>
      </c>
      <c r="I510" s="1" t="s">
        <v>129</v>
      </c>
      <c r="J510" s="1" t="s">
        <v>162</v>
      </c>
      <c r="K510" s="1" t="n">
        <v>116</v>
      </c>
    </row>
    <row r="511" customFormat="false" ht="14.25" hidden="true" customHeight="false" outlineLevel="0" collapsed="false">
      <c r="A511" s="1" t="n">
        <v>5</v>
      </c>
      <c r="B511" s="1" t="s">
        <v>92</v>
      </c>
      <c r="C511" s="1" t="s">
        <v>93</v>
      </c>
      <c r="D511" s="23"/>
      <c r="G511" s="21" t="n">
        <f aca="false">ROUND(K511/PI(),0)</f>
        <v>3</v>
      </c>
      <c r="H511" s="1" t="n">
        <v>5</v>
      </c>
      <c r="I511" s="1" t="s">
        <v>129</v>
      </c>
      <c r="J511" s="1" t="s">
        <v>162</v>
      </c>
      <c r="K511" s="1" t="n">
        <v>8.5</v>
      </c>
    </row>
    <row r="512" customFormat="false" ht="14.25" hidden="true" customHeight="false" outlineLevel="0" collapsed="false">
      <c r="A512" s="1" t="n">
        <v>5</v>
      </c>
      <c r="B512" s="1" t="s">
        <v>92</v>
      </c>
      <c r="C512" s="1" t="s">
        <v>93</v>
      </c>
      <c r="D512" s="23"/>
      <c r="E512" s="1" t="s">
        <v>174</v>
      </c>
      <c r="F512" s="1" t="s">
        <v>120</v>
      </c>
      <c r="G512" s="21" t="n">
        <f aca="false">ROUND(K512/PI(),0)</f>
        <v>4</v>
      </c>
      <c r="H512" s="1" t="n">
        <v>5</v>
      </c>
      <c r="I512" s="1" t="s">
        <v>129</v>
      </c>
      <c r="J512" s="1" t="s">
        <v>162</v>
      </c>
      <c r="K512" s="1" t="n">
        <v>14</v>
      </c>
    </row>
    <row r="513" customFormat="false" ht="14.25" hidden="true" customHeight="false" outlineLevel="0" collapsed="false">
      <c r="A513" s="1" t="n">
        <v>5</v>
      </c>
      <c r="B513" s="1" t="s">
        <v>92</v>
      </c>
      <c r="C513" s="1" t="s">
        <v>93</v>
      </c>
      <c r="D513" s="23" t="s">
        <v>279</v>
      </c>
      <c r="E513" s="1" t="s">
        <v>156</v>
      </c>
      <c r="F513" s="1" t="s">
        <v>120</v>
      </c>
      <c r="G513" s="21" t="n">
        <f aca="false">ROUND(K513/PI(),0)</f>
        <v>30</v>
      </c>
      <c r="H513" s="1" t="n">
        <v>15</v>
      </c>
      <c r="I513" s="1" t="s">
        <v>129</v>
      </c>
      <c r="J513" s="1" t="s">
        <v>162</v>
      </c>
      <c r="K513" s="1" t="n">
        <v>93</v>
      </c>
    </row>
    <row r="514" customFormat="false" ht="14.25" hidden="true" customHeight="false" outlineLevel="0" collapsed="false">
      <c r="A514" s="1" t="n">
        <v>6</v>
      </c>
      <c r="B514" s="1" t="s">
        <v>92</v>
      </c>
      <c r="C514" s="1" t="s">
        <v>93</v>
      </c>
      <c r="D514" s="23" t="s">
        <v>132</v>
      </c>
      <c r="E514" s="1" t="s">
        <v>133</v>
      </c>
      <c r="F514" s="1" t="s">
        <v>120</v>
      </c>
      <c r="G514" s="21" t="n">
        <f aca="false">ROUND(K514/PI(),0)</f>
        <v>4</v>
      </c>
      <c r="H514" s="1" t="n">
        <v>6</v>
      </c>
      <c r="I514" s="1" t="s">
        <v>129</v>
      </c>
      <c r="J514" s="1" t="s">
        <v>162</v>
      </c>
      <c r="K514" s="1" t="n">
        <v>13</v>
      </c>
    </row>
    <row r="515" customFormat="false" ht="14.25" hidden="true" customHeight="false" outlineLevel="0" collapsed="false">
      <c r="A515" s="1" t="n">
        <v>6</v>
      </c>
      <c r="B515" s="1" t="s">
        <v>92</v>
      </c>
      <c r="C515" s="1" t="s">
        <v>93</v>
      </c>
      <c r="D515" s="23" t="s">
        <v>132</v>
      </c>
      <c r="E515" s="1" t="s">
        <v>133</v>
      </c>
      <c r="F515" s="1" t="s">
        <v>120</v>
      </c>
      <c r="G515" s="21" t="n">
        <f aca="false">ROUND(K515/PI(),0)</f>
        <v>3</v>
      </c>
      <c r="H515" s="1" t="n">
        <v>4</v>
      </c>
      <c r="I515" s="1" t="s">
        <v>129</v>
      </c>
      <c r="J515" s="1" t="s">
        <v>162</v>
      </c>
      <c r="K515" s="1" t="n">
        <v>9</v>
      </c>
    </row>
    <row r="516" customFormat="false" ht="14.25" hidden="true" customHeight="false" outlineLevel="0" collapsed="false">
      <c r="A516" s="1" t="n">
        <v>6</v>
      </c>
      <c r="B516" s="1" t="s">
        <v>92</v>
      </c>
      <c r="C516" s="1" t="s">
        <v>93</v>
      </c>
      <c r="D516" s="23" t="s">
        <v>132</v>
      </c>
      <c r="E516" s="1" t="s">
        <v>133</v>
      </c>
      <c r="F516" s="1" t="s">
        <v>120</v>
      </c>
      <c r="G516" s="21" t="n">
        <f aca="false">ROUND(K516/PI(),0)</f>
        <v>4</v>
      </c>
      <c r="H516" s="1" t="n">
        <v>7</v>
      </c>
      <c r="I516" s="1" t="s">
        <v>129</v>
      </c>
      <c r="J516" s="1" t="s">
        <v>162</v>
      </c>
      <c r="K516" s="1" t="n">
        <v>13</v>
      </c>
    </row>
    <row r="517" customFormat="false" ht="14.25" hidden="true" customHeight="false" outlineLevel="0" collapsed="false">
      <c r="A517" s="1" t="n">
        <v>6</v>
      </c>
      <c r="B517" s="1" t="s">
        <v>92</v>
      </c>
      <c r="C517" s="1" t="s">
        <v>93</v>
      </c>
      <c r="D517" s="23" t="s">
        <v>132</v>
      </c>
      <c r="E517" s="1" t="s">
        <v>133</v>
      </c>
      <c r="F517" s="1" t="s">
        <v>120</v>
      </c>
      <c r="G517" s="21" t="n">
        <f aca="false">ROUND(K517/PI(),0)</f>
        <v>4</v>
      </c>
      <c r="H517" s="1" t="n">
        <v>5</v>
      </c>
      <c r="I517" s="1" t="s">
        <v>127</v>
      </c>
      <c r="J517" s="1" t="s">
        <v>162</v>
      </c>
      <c r="K517" s="1" t="n">
        <v>12</v>
      </c>
    </row>
    <row r="518" customFormat="false" ht="14.25" hidden="true" customHeight="false" outlineLevel="0" collapsed="false">
      <c r="A518" s="1" t="n">
        <v>6</v>
      </c>
      <c r="B518" s="1" t="s">
        <v>92</v>
      </c>
      <c r="C518" s="1" t="s">
        <v>93</v>
      </c>
      <c r="D518" s="23" t="s">
        <v>132</v>
      </c>
      <c r="E518" s="1" t="s">
        <v>133</v>
      </c>
      <c r="F518" s="1" t="s">
        <v>120</v>
      </c>
      <c r="G518" s="21" t="n">
        <f aca="false">ROUND(K518/PI(),0)</f>
        <v>5</v>
      </c>
      <c r="H518" s="1" t="n">
        <v>5</v>
      </c>
      <c r="I518" s="1" t="s">
        <v>129</v>
      </c>
      <c r="J518" s="1" t="s">
        <v>162</v>
      </c>
      <c r="K518" s="1" t="n">
        <v>15</v>
      </c>
    </row>
    <row r="519" customFormat="false" ht="14.25" hidden="true" customHeight="false" outlineLevel="0" collapsed="false">
      <c r="A519" s="1" t="n">
        <v>7</v>
      </c>
      <c r="B519" s="1" t="s">
        <v>101</v>
      </c>
      <c r="C519" s="1" t="s">
        <v>93</v>
      </c>
      <c r="D519" s="23"/>
      <c r="G519" s="21" t="n">
        <f aca="false">ROUND(K519/PI(),0)</f>
        <v>3</v>
      </c>
      <c r="H519" s="1" t="n">
        <v>5</v>
      </c>
      <c r="I519" s="1" t="s">
        <v>129</v>
      </c>
      <c r="J519" s="1" t="s">
        <v>149</v>
      </c>
      <c r="K519" s="1" t="n">
        <v>9</v>
      </c>
    </row>
    <row r="520" customFormat="false" ht="14.25" hidden="true" customHeight="false" outlineLevel="0" collapsed="false">
      <c r="A520" s="1" t="n">
        <v>7</v>
      </c>
      <c r="B520" s="1" t="s">
        <v>101</v>
      </c>
      <c r="C520" s="1" t="s">
        <v>93</v>
      </c>
      <c r="D520" s="23" t="s">
        <v>132</v>
      </c>
      <c r="E520" s="1" t="s">
        <v>133</v>
      </c>
      <c r="F520" s="1" t="s">
        <v>120</v>
      </c>
      <c r="G520" s="21" t="n">
        <f aca="false">ROUND(K520/PI(),0)</f>
        <v>3</v>
      </c>
      <c r="H520" s="1" t="n">
        <v>7</v>
      </c>
      <c r="I520" s="1" t="s">
        <v>127</v>
      </c>
      <c r="J520" s="1" t="s">
        <v>141</v>
      </c>
      <c r="K520" s="1" t="n">
        <v>9</v>
      </c>
    </row>
    <row r="521" customFormat="false" ht="14.25" hidden="true" customHeight="false" outlineLevel="0" collapsed="false">
      <c r="A521" s="1" t="n">
        <v>7</v>
      </c>
      <c r="B521" s="1" t="s">
        <v>101</v>
      </c>
      <c r="C521" s="1" t="s">
        <v>93</v>
      </c>
      <c r="D521" s="23" t="s">
        <v>132</v>
      </c>
      <c r="E521" s="1" t="s">
        <v>133</v>
      </c>
      <c r="F521" s="1" t="s">
        <v>120</v>
      </c>
      <c r="G521" s="21" t="n">
        <f aca="false">ROUND(K521/PI(),0)</f>
        <v>5</v>
      </c>
      <c r="H521" s="1" t="n">
        <v>7</v>
      </c>
      <c r="I521" s="1" t="s">
        <v>129</v>
      </c>
      <c r="J521" s="1" t="s">
        <v>141</v>
      </c>
      <c r="K521" s="1" t="n">
        <v>15</v>
      </c>
    </row>
    <row r="522" customFormat="false" ht="14.25" hidden="true" customHeight="false" outlineLevel="0" collapsed="false">
      <c r="A522" s="1" t="n">
        <v>7</v>
      </c>
      <c r="B522" s="1" t="s">
        <v>101</v>
      </c>
      <c r="C522" s="1" t="s">
        <v>93</v>
      </c>
      <c r="D522" s="23" t="s">
        <v>132</v>
      </c>
      <c r="E522" s="1" t="s">
        <v>133</v>
      </c>
      <c r="F522" s="1" t="s">
        <v>120</v>
      </c>
      <c r="G522" s="21" t="n">
        <f aca="false">ROUND(K522/PI(),0)</f>
        <v>11</v>
      </c>
      <c r="H522" s="1" t="n">
        <v>10</v>
      </c>
      <c r="I522" s="1" t="s">
        <v>129</v>
      </c>
      <c r="J522" s="1" t="s">
        <v>280</v>
      </c>
      <c r="K522" s="1" t="n">
        <v>36</v>
      </c>
    </row>
    <row r="523" customFormat="false" ht="14.25" hidden="true" customHeight="false" outlineLevel="0" collapsed="false">
      <c r="A523" s="1" t="n">
        <v>18</v>
      </c>
      <c r="B523" s="1" t="s">
        <v>128</v>
      </c>
      <c r="C523" s="1" t="s">
        <v>281</v>
      </c>
      <c r="D523" s="23"/>
      <c r="E523" s="1" t="s">
        <v>210</v>
      </c>
      <c r="F523" s="1" t="s">
        <v>120</v>
      </c>
      <c r="G523" s="21" t="n">
        <f aca="false">K523/3.1416</f>
        <v>2.54647313470843</v>
      </c>
      <c r="H523" s="1" t="n">
        <v>4</v>
      </c>
      <c r="I523" s="1" t="s">
        <v>129</v>
      </c>
      <c r="J523" s="1" t="s">
        <v>74</v>
      </c>
      <c r="K523" s="1" t="n">
        <v>8</v>
      </c>
    </row>
    <row r="524" customFormat="false" ht="14.25" hidden="true" customHeight="false" outlineLevel="0" collapsed="false">
      <c r="A524" s="1" t="n">
        <v>19</v>
      </c>
      <c r="B524" s="1" t="s">
        <v>128</v>
      </c>
      <c r="C524" s="1" t="s">
        <v>281</v>
      </c>
      <c r="D524" s="23"/>
      <c r="G524" s="21" t="n">
        <f aca="false">K524/3.1416</f>
        <v>3.50140056022409</v>
      </c>
      <c r="H524" s="1" t="n">
        <v>5</v>
      </c>
      <c r="I524" s="1" t="s">
        <v>134</v>
      </c>
      <c r="J524" s="1" t="s">
        <v>149</v>
      </c>
      <c r="K524" s="1" t="n">
        <v>11</v>
      </c>
    </row>
    <row r="525" customFormat="false" ht="14.25" hidden="true" customHeight="false" outlineLevel="0" collapsed="false">
      <c r="A525" s="1" t="n">
        <v>20</v>
      </c>
      <c r="B525" s="1" t="s">
        <v>128</v>
      </c>
      <c r="C525" s="1" t="s">
        <v>281</v>
      </c>
      <c r="D525" s="23"/>
      <c r="E525" s="1" t="s">
        <v>167</v>
      </c>
      <c r="F525" s="1" t="s">
        <v>120</v>
      </c>
      <c r="G525" s="21" t="n">
        <f aca="false">K525/3.1416</f>
        <v>2.86478227654698</v>
      </c>
      <c r="H525" s="1" t="n">
        <v>5</v>
      </c>
      <c r="I525" s="1" t="s">
        <v>127</v>
      </c>
      <c r="J525" s="1" t="s">
        <v>130</v>
      </c>
      <c r="K525" s="1" t="n">
        <v>9</v>
      </c>
    </row>
    <row r="526" customFormat="false" ht="14.25" hidden="true" customHeight="false" outlineLevel="0" collapsed="false">
      <c r="A526" s="1" t="n">
        <v>21</v>
      </c>
      <c r="B526" s="1" t="s">
        <v>135</v>
      </c>
      <c r="C526" s="1" t="s">
        <v>281</v>
      </c>
      <c r="D526" s="23" t="s">
        <v>282</v>
      </c>
      <c r="E526" s="1" t="s">
        <v>283</v>
      </c>
      <c r="F526" s="1" t="s">
        <v>120</v>
      </c>
      <c r="G526" s="21" t="n">
        <f aca="false">K526/3.1416</f>
        <v>2.54647313470843</v>
      </c>
      <c r="H526" s="1" t="n">
        <v>3</v>
      </c>
      <c r="I526" s="1" t="s">
        <v>129</v>
      </c>
      <c r="J526" s="1" t="s">
        <v>149</v>
      </c>
      <c r="K526" s="1" t="n">
        <v>8</v>
      </c>
    </row>
    <row r="527" customFormat="false" ht="14.25" hidden="true" customHeight="false" outlineLevel="0" collapsed="false">
      <c r="A527" s="1" t="n">
        <v>22</v>
      </c>
      <c r="B527" s="1" t="s">
        <v>135</v>
      </c>
      <c r="C527" s="1" t="s">
        <v>281</v>
      </c>
      <c r="D527" s="23"/>
      <c r="G527" s="21" t="n">
        <f aca="false">K527/3.1416</f>
        <v>2.54647313470843</v>
      </c>
      <c r="H527" s="1" t="n">
        <v>5</v>
      </c>
      <c r="I527" s="1" t="s">
        <v>127</v>
      </c>
      <c r="J527" s="1" t="s">
        <v>149</v>
      </c>
      <c r="K527" s="1" t="n">
        <v>8</v>
      </c>
    </row>
    <row r="528" customFormat="false" ht="14.25" hidden="true" customHeight="false" outlineLevel="0" collapsed="false">
      <c r="A528" s="1" t="n">
        <v>22</v>
      </c>
      <c r="B528" s="1" t="s">
        <v>135</v>
      </c>
      <c r="C528" s="1" t="s">
        <v>281</v>
      </c>
      <c r="D528" s="23"/>
      <c r="G528" s="21" t="n">
        <f aca="false">K528/3.1416</f>
        <v>4.7746371275783</v>
      </c>
      <c r="H528" s="1" t="n">
        <v>10</v>
      </c>
      <c r="I528" s="1" t="s">
        <v>129</v>
      </c>
      <c r="J528" s="1" t="s">
        <v>149</v>
      </c>
      <c r="K528" s="1" t="n">
        <v>15</v>
      </c>
    </row>
    <row r="529" customFormat="false" ht="14.25" hidden="true" customHeight="false" outlineLevel="0" collapsed="false">
      <c r="A529" s="1" t="n">
        <v>7</v>
      </c>
      <c r="B529" s="1" t="s">
        <v>101</v>
      </c>
      <c r="C529" s="1" t="s">
        <v>281</v>
      </c>
      <c r="D529" s="23"/>
      <c r="G529" s="21" t="n">
        <f aca="false">ROUND(K529/PI(),0)</f>
        <v>13</v>
      </c>
      <c r="H529" s="1" t="n">
        <v>12</v>
      </c>
      <c r="I529" s="1" t="s">
        <v>129</v>
      </c>
      <c r="J529" s="1" t="s">
        <v>141</v>
      </c>
      <c r="K529" s="1" t="n">
        <v>40</v>
      </c>
    </row>
    <row r="530" customFormat="false" ht="14.25" hidden="true" customHeight="false" outlineLevel="0" collapsed="false">
      <c r="A530" s="1" t="n">
        <v>3</v>
      </c>
      <c r="B530" s="1" t="s">
        <v>82</v>
      </c>
      <c r="C530" s="1" t="s">
        <v>284</v>
      </c>
      <c r="D530" s="23"/>
      <c r="G530" s="21" t="n">
        <f aca="false">ROUND(K530/PI(),0)</f>
        <v>6</v>
      </c>
      <c r="H530" s="1" t="n">
        <v>5</v>
      </c>
      <c r="I530" s="1" t="s">
        <v>127</v>
      </c>
      <c r="J530" s="1" t="s">
        <v>152</v>
      </c>
      <c r="K530" s="1" t="n">
        <v>18</v>
      </c>
    </row>
    <row r="531" customFormat="false" ht="14.25" hidden="true" customHeight="false" outlineLevel="0" collapsed="false">
      <c r="A531" s="1" t="n">
        <v>3</v>
      </c>
      <c r="B531" s="1" t="s">
        <v>82</v>
      </c>
      <c r="C531" s="1" t="s">
        <v>285</v>
      </c>
      <c r="D531" s="23"/>
      <c r="E531" s="1" t="s">
        <v>156</v>
      </c>
      <c r="F531" s="1" t="s">
        <v>120</v>
      </c>
      <c r="G531" s="21" t="n">
        <f aca="false">ROUND(K531/PI(),0)</f>
        <v>5</v>
      </c>
      <c r="H531" s="1" t="n">
        <v>6</v>
      </c>
      <c r="I531" s="1" t="s">
        <v>129</v>
      </c>
      <c r="J531" s="1" t="s">
        <v>152</v>
      </c>
      <c r="K531" s="1" t="n">
        <v>17</v>
      </c>
    </row>
    <row r="532" customFormat="false" ht="14.25" hidden="true" customHeight="false" outlineLevel="0" collapsed="false">
      <c r="A532" s="1" t="n">
        <v>4</v>
      </c>
      <c r="B532" s="1" t="s">
        <v>82</v>
      </c>
      <c r="C532" s="1" t="s">
        <v>285</v>
      </c>
      <c r="D532" s="23"/>
      <c r="G532" s="21" t="n">
        <f aca="false">ROUND(K532/PI(),0)</f>
        <v>6</v>
      </c>
      <c r="H532" s="1" t="n">
        <v>8</v>
      </c>
      <c r="I532" s="1" t="s">
        <v>129</v>
      </c>
      <c r="J532" s="1" t="s">
        <v>152</v>
      </c>
      <c r="K532" s="1" t="n">
        <v>18</v>
      </c>
    </row>
    <row r="533" customFormat="false" ht="14.25" hidden="true" customHeight="false" outlineLevel="0" collapsed="false">
      <c r="A533" s="1" t="n">
        <v>2</v>
      </c>
      <c r="B533" s="1" t="s">
        <v>82</v>
      </c>
      <c r="C533" s="1" t="s">
        <v>286</v>
      </c>
      <c r="D533" s="23"/>
      <c r="E533" s="1" t="s">
        <v>145</v>
      </c>
      <c r="F533" s="2" t="s">
        <v>120</v>
      </c>
      <c r="G533" s="21" t="n">
        <f aca="false">K533/3.1416</f>
        <v>3.18309141838554</v>
      </c>
      <c r="H533" s="1" t="n">
        <v>0</v>
      </c>
      <c r="I533" s="2" t="s">
        <v>74</v>
      </c>
      <c r="J533" s="1" t="s">
        <v>130</v>
      </c>
      <c r="K533" s="1" t="n">
        <v>10</v>
      </c>
    </row>
    <row r="534" customFormat="false" ht="14.25" hidden="true" customHeight="false" outlineLevel="0" collapsed="false">
      <c r="A534" s="1" t="n">
        <v>2</v>
      </c>
      <c r="B534" s="1" t="s">
        <v>82</v>
      </c>
      <c r="C534" s="1" t="s">
        <v>286</v>
      </c>
      <c r="D534" s="23"/>
      <c r="E534" s="1" t="s">
        <v>145</v>
      </c>
      <c r="F534" s="2" t="s">
        <v>120</v>
      </c>
      <c r="G534" s="21" t="n">
        <f aca="false">K534/3.1416</f>
        <v>4.1380188439012</v>
      </c>
      <c r="H534" s="1" t="n">
        <v>0</v>
      </c>
      <c r="I534" s="2" t="s">
        <v>74</v>
      </c>
      <c r="J534" s="1" t="s">
        <v>130</v>
      </c>
      <c r="K534" s="1" t="n">
        <v>13</v>
      </c>
    </row>
    <row r="535" customFormat="false" ht="14.25" hidden="true" customHeight="false" outlineLevel="0" collapsed="false">
      <c r="A535" s="1" t="n">
        <v>2</v>
      </c>
      <c r="B535" s="1" t="s">
        <v>82</v>
      </c>
      <c r="C535" s="1" t="s">
        <v>286</v>
      </c>
      <c r="D535" s="23"/>
      <c r="E535" s="1" t="s">
        <v>145</v>
      </c>
      <c r="F535" s="2" t="s">
        <v>120</v>
      </c>
      <c r="G535" s="21" t="n">
        <f aca="false">K535/3.1416</f>
        <v>9.54927425515661</v>
      </c>
      <c r="H535" s="1" t="n">
        <v>0</v>
      </c>
      <c r="I535" s="2" t="s">
        <v>74</v>
      </c>
      <c r="J535" s="1" t="s">
        <v>130</v>
      </c>
      <c r="K535" s="1" t="n">
        <v>30</v>
      </c>
    </row>
    <row r="536" customFormat="false" ht="15.65" hidden="true" customHeight="false" outlineLevel="0" collapsed="false">
      <c r="A536" s="1" t="n">
        <v>7</v>
      </c>
      <c r="B536" s="1" t="s">
        <v>122</v>
      </c>
      <c r="C536" s="1" t="s">
        <v>286</v>
      </c>
      <c r="D536" s="27" t="s">
        <v>225</v>
      </c>
      <c r="E536" s="1" t="s">
        <v>186</v>
      </c>
      <c r="F536" s="2" t="s">
        <v>138</v>
      </c>
      <c r="G536" s="21" t="n">
        <f aca="false">K536/3.1416</f>
        <v>12.4140565317036</v>
      </c>
      <c r="H536" s="1" t="n">
        <v>12</v>
      </c>
      <c r="I536" s="2" t="s">
        <v>74</v>
      </c>
      <c r="J536" s="1" t="s">
        <v>130</v>
      </c>
      <c r="K536" s="1" t="n">
        <v>39</v>
      </c>
    </row>
    <row r="537" customFormat="false" ht="15.65" hidden="true" customHeight="false" outlineLevel="0" collapsed="false">
      <c r="A537" s="1" t="n">
        <v>7</v>
      </c>
      <c r="B537" s="1" t="s">
        <v>122</v>
      </c>
      <c r="C537" s="1" t="s">
        <v>286</v>
      </c>
      <c r="D537" s="27" t="s">
        <v>225</v>
      </c>
      <c r="E537" s="1" t="s">
        <v>186</v>
      </c>
      <c r="F537" s="2" t="s">
        <v>138</v>
      </c>
      <c r="G537" s="21" t="n">
        <f aca="false">K537/3.1416</f>
        <v>11.7774382480265</v>
      </c>
      <c r="H537" s="1" t="n">
        <v>12</v>
      </c>
      <c r="I537" s="2" t="s">
        <v>74</v>
      </c>
      <c r="J537" s="1" t="s">
        <v>130</v>
      </c>
      <c r="K537" s="1" t="n">
        <v>37</v>
      </c>
    </row>
    <row r="538" customFormat="false" ht="15.65" hidden="true" customHeight="false" outlineLevel="0" collapsed="false">
      <c r="A538" s="1" t="n">
        <v>7</v>
      </c>
      <c r="B538" s="1" t="s">
        <v>122</v>
      </c>
      <c r="C538" s="1" t="s">
        <v>286</v>
      </c>
      <c r="D538" s="27" t="s">
        <v>225</v>
      </c>
      <c r="E538" s="1" t="s">
        <v>186</v>
      </c>
      <c r="F538" s="2" t="s">
        <v>138</v>
      </c>
      <c r="G538" s="21" t="n">
        <f aca="false">K538/3.1416</f>
        <v>3.18309141838554</v>
      </c>
      <c r="H538" s="1" t="n">
        <v>3.5</v>
      </c>
      <c r="I538" s="2" t="s">
        <v>74</v>
      </c>
      <c r="J538" s="1" t="s">
        <v>130</v>
      </c>
      <c r="K538" s="1" t="n">
        <v>10</v>
      </c>
    </row>
    <row r="539" customFormat="false" ht="14.25" hidden="true" customHeight="false" outlineLevel="0" collapsed="false">
      <c r="A539" s="1" t="n">
        <v>8</v>
      </c>
      <c r="B539" s="1" t="s">
        <v>122</v>
      </c>
      <c r="C539" s="1" t="s">
        <v>286</v>
      </c>
      <c r="D539" s="23" t="s">
        <v>238</v>
      </c>
      <c r="E539" s="1" t="s">
        <v>239</v>
      </c>
      <c r="F539" s="2" t="s">
        <v>120</v>
      </c>
      <c r="G539" s="21" t="n">
        <f aca="false">K539/3.1416</f>
        <v>3.18309141838554</v>
      </c>
      <c r="H539" s="1" t="n">
        <v>5</v>
      </c>
      <c r="I539" s="2" t="s">
        <v>129</v>
      </c>
      <c r="J539" s="1" t="s">
        <v>130</v>
      </c>
      <c r="K539" s="1" t="n">
        <v>10</v>
      </c>
    </row>
    <row r="540" customFormat="false" ht="14.25" hidden="true" customHeight="false" outlineLevel="0" collapsed="false">
      <c r="A540" s="1" t="n">
        <v>8</v>
      </c>
      <c r="B540" s="1" t="s">
        <v>122</v>
      </c>
      <c r="C540" s="1" t="s">
        <v>286</v>
      </c>
      <c r="D540" s="23"/>
      <c r="G540" s="21" t="n">
        <f aca="false">K540/3.1416</f>
        <v>3.18309141838554</v>
      </c>
      <c r="H540" s="1" t="n">
        <v>3</v>
      </c>
      <c r="I540" s="2" t="s">
        <v>129</v>
      </c>
      <c r="J540" s="1" t="s">
        <v>130</v>
      </c>
      <c r="K540" s="1" t="n">
        <v>10</v>
      </c>
    </row>
    <row r="541" customFormat="false" ht="14.25" hidden="true" customHeight="false" outlineLevel="0" collapsed="false">
      <c r="A541" s="1" t="n">
        <v>9</v>
      </c>
      <c r="B541" s="1" t="s">
        <v>122</v>
      </c>
      <c r="C541" s="1" t="s">
        <v>286</v>
      </c>
      <c r="D541" s="23"/>
      <c r="G541" s="21" t="n">
        <f aca="false">K541/3.1416</f>
        <v>9.23096511331806</v>
      </c>
      <c r="H541" s="1" t="n">
        <v>13</v>
      </c>
      <c r="I541" s="2" t="s">
        <v>129</v>
      </c>
      <c r="J541" s="1" t="s">
        <v>130</v>
      </c>
      <c r="K541" s="1" t="n">
        <v>29</v>
      </c>
    </row>
    <row r="542" customFormat="false" ht="14.25" hidden="true" customHeight="false" outlineLevel="0" collapsed="false">
      <c r="A542" s="1" t="n">
        <v>11</v>
      </c>
      <c r="B542" s="1" t="s">
        <v>82</v>
      </c>
      <c r="C542" s="1" t="s">
        <v>286</v>
      </c>
      <c r="D542" s="23"/>
      <c r="E542" s="1" t="s">
        <v>157</v>
      </c>
      <c r="F542" s="2" t="s">
        <v>120</v>
      </c>
      <c r="G542" s="21" t="n">
        <f aca="false">K542/3.1416</f>
        <v>3.50140056022409</v>
      </c>
      <c r="H542" s="1" t="n">
        <v>5</v>
      </c>
      <c r="I542" s="1" t="s">
        <v>234</v>
      </c>
      <c r="J542" s="1" t="s">
        <v>130</v>
      </c>
      <c r="K542" s="1" t="n">
        <v>11</v>
      </c>
    </row>
    <row r="543" customFormat="false" ht="14.25" hidden="true" customHeight="false" outlineLevel="0" collapsed="false">
      <c r="A543" s="1" t="n">
        <v>11</v>
      </c>
      <c r="B543" s="1" t="s">
        <v>82</v>
      </c>
      <c r="C543" s="1" t="s">
        <v>286</v>
      </c>
      <c r="D543" s="23"/>
      <c r="E543" s="1" t="s">
        <v>157</v>
      </c>
      <c r="F543" s="1" t="s">
        <v>120</v>
      </c>
      <c r="G543" s="21" t="n">
        <f aca="false">K543/3.1416</f>
        <v>6.68449197860963</v>
      </c>
      <c r="H543" s="1" t="n">
        <v>7</v>
      </c>
      <c r="I543" s="1" t="s">
        <v>129</v>
      </c>
      <c r="J543" s="1" t="s">
        <v>130</v>
      </c>
      <c r="K543" s="1" t="n">
        <v>21</v>
      </c>
    </row>
    <row r="544" customFormat="false" ht="14.25" hidden="true" customHeight="false" outlineLevel="0" collapsed="false">
      <c r="A544" s="1" t="n">
        <v>14</v>
      </c>
      <c r="B544" s="1" t="s">
        <v>131</v>
      </c>
      <c r="C544" s="1" t="s">
        <v>286</v>
      </c>
      <c r="D544" s="23" t="s">
        <v>287</v>
      </c>
      <c r="E544" s="1" t="s">
        <v>157</v>
      </c>
      <c r="F544" s="1" t="s">
        <v>138</v>
      </c>
      <c r="G544" s="21" t="n">
        <f aca="false">K544/3.1416</f>
        <v>2.54647313470843</v>
      </c>
      <c r="H544" s="1" t="n">
        <v>2</v>
      </c>
      <c r="I544" s="1" t="s">
        <v>129</v>
      </c>
      <c r="J544" s="1" t="s">
        <v>130</v>
      </c>
      <c r="K544" s="1" t="n">
        <v>8</v>
      </c>
    </row>
    <row r="545" customFormat="false" ht="14.25" hidden="true" customHeight="false" outlineLevel="0" collapsed="false">
      <c r="A545" s="1" t="n">
        <v>18</v>
      </c>
      <c r="B545" s="1" t="s">
        <v>128</v>
      </c>
      <c r="C545" s="1" t="s">
        <v>286</v>
      </c>
      <c r="D545" s="23"/>
      <c r="G545" s="21" t="n">
        <f aca="false">K545/3.1416</f>
        <v>7.63941940412529</v>
      </c>
      <c r="H545" s="1" t="n">
        <v>7</v>
      </c>
      <c r="I545" s="1" t="s">
        <v>127</v>
      </c>
      <c r="J545" s="1" t="s">
        <v>130</v>
      </c>
      <c r="K545" s="1" t="n">
        <v>24</v>
      </c>
    </row>
    <row r="546" customFormat="false" ht="14.25" hidden="true" customHeight="false" outlineLevel="0" collapsed="false">
      <c r="A546" s="1" t="n">
        <v>22</v>
      </c>
      <c r="B546" s="1" t="s">
        <v>135</v>
      </c>
      <c r="C546" s="1" t="s">
        <v>286</v>
      </c>
      <c r="D546" s="23" t="s">
        <v>288</v>
      </c>
      <c r="E546" s="1" t="s">
        <v>289</v>
      </c>
      <c r="F546" s="1" t="s">
        <v>120</v>
      </c>
      <c r="G546" s="21" t="n">
        <f aca="false">K546/3.1416</f>
        <v>2.54647313470843</v>
      </c>
      <c r="H546" s="1" t="n">
        <v>2.5</v>
      </c>
      <c r="I546" s="1" t="s">
        <v>134</v>
      </c>
      <c r="J546" s="1" t="s">
        <v>130</v>
      </c>
      <c r="K546" s="1" t="n">
        <v>8</v>
      </c>
    </row>
    <row r="547" customFormat="false" ht="14.25" hidden="true" customHeight="false" outlineLevel="0" collapsed="false">
      <c r="A547" s="1" t="n">
        <v>28</v>
      </c>
      <c r="B547" s="1" t="s">
        <v>82</v>
      </c>
      <c r="C547" s="1" t="s">
        <v>286</v>
      </c>
      <c r="D547" s="23"/>
      <c r="E547" s="1" t="s">
        <v>174</v>
      </c>
      <c r="F547" s="1" t="s">
        <v>120</v>
      </c>
      <c r="G547" s="21" t="n">
        <f aca="false">K547/3.1416</f>
        <v>6.68449197860963</v>
      </c>
      <c r="H547" s="1" t="n">
        <v>8</v>
      </c>
      <c r="I547" s="1" t="s">
        <v>129</v>
      </c>
      <c r="J547" s="1" t="s">
        <v>130</v>
      </c>
      <c r="K547" s="1" t="n">
        <v>21</v>
      </c>
    </row>
    <row r="548" customFormat="false" ht="14.25" hidden="true" customHeight="false" outlineLevel="0" collapsed="false">
      <c r="A548" s="1" t="n">
        <v>29</v>
      </c>
      <c r="B548" s="1" t="s">
        <v>131</v>
      </c>
      <c r="C548" s="1" t="s">
        <v>286</v>
      </c>
      <c r="D548" s="23" t="s">
        <v>248</v>
      </c>
      <c r="E548" s="1" t="s">
        <v>247</v>
      </c>
      <c r="F548" s="1" t="s">
        <v>120</v>
      </c>
      <c r="G548" s="21" t="n">
        <f aca="false">K548/3.1416</f>
        <v>3.81970970206264</v>
      </c>
      <c r="H548" s="1" t="n">
        <v>5</v>
      </c>
      <c r="I548" s="1" t="s">
        <v>127</v>
      </c>
      <c r="J548" s="1" t="s">
        <v>130</v>
      </c>
      <c r="K548" s="1" t="n">
        <v>12</v>
      </c>
    </row>
    <row r="549" customFormat="false" ht="14.25" hidden="true" customHeight="false" outlineLevel="0" collapsed="false">
      <c r="A549" s="1" t="n">
        <v>30</v>
      </c>
      <c r="B549" s="1" t="s">
        <v>131</v>
      </c>
      <c r="C549" s="1" t="s">
        <v>286</v>
      </c>
      <c r="D549" s="23"/>
      <c r="G549" s="21" t="n">
        <f aca="false">K549/3.1416</f>
        <v>9.23096511331806</v>
      </c>
      <c r="H549" s="1" t="n">
        <v>12</v>
      </c>
      <c r="I549" s="1" t="s">
        <v>129</v>
      </c>
      <c r="J549" s="1" t="s">
        <v>130</v>
      </c>
      <c r="K549" s="1" t="n">
        <v>29</v>
      </c>
    </row>
    <row r="550" customFormat="false" ht="14.25" hidden="true" customHeight="false" outlineLevel="0" collapsed="false">
      <c r="A550" s="1" t="n">
        <v>31</v>
      </c>
      <c r="B550" s="1" t="s">
        <v>131</v>
      </c>
      <c r="C550" s="1" t="s">
        <v>286</v>
      </c>
      <c r="D550" s="23" t="s">
        <v>290</v>
      </c>
      <c r="E550" s="1" t="s">
        <v>157</v>
      </c>
      <c r="F550" s="1" t="s">
        <v>138</v>
      </c>
      <c r="G550" s="21" t="n">
        <f aca="false">K550/3.1416</f>
        <v>7.95772854596384</v>
      </c>
      <c r="H550" s="1" t="n">
        <v>8</v>
      </c>
      <c r="I550" s="1" t="s">
        <v>129</v>
      </c>
      <c r="J550" s="1" t="s">
        <v>130</v>
      </c>
      <c r="K550" s="1" t="n">
        <v>25</v>
      </c>
    </row>
    <row r="551" customFormat="false" ht="14.25" hidden="true" customHeight="false" outlineLevel="0" collapsed="false">
      <c r="A551" s="1" t="n">
        <v>31</v>
      </c>
      <c r="B551" s="1" t="s">
        <v>131</v>
      </c>
      <c r="C551" s="1" t="s">
        <v>286</v>
      </c>
      <c r="D551" s="23" t="s">
        <v>290</v>
      </c>
      <c r="E551" s="1" t="s">
        <v>157</v>
      </c>
      <c r="F551" s="1" t="s">
        <v>138</v>
      </c>
      <c r="G551" s="21" t="n">
        <f aca="false">K551/3.1416</f>
        <v>3.50140056022409</v>
      </c>
      <c r="H551" s="1" t="n">
        <v>7</v>
      </c>
      <c r="I551" s="1" t="s">
        <v>127</v>
      </c>
      <c r="J551" s="1" t="s">
        <v>130</v>
      </c>
      <c r="K551" s="1" t="n">
        <v>11</v>
      </c>
    </row>
    <row r="552" customFormat="false" ht="14.25" hidden="true" customHeight="false" outlineLevel="0" collapsed="false">
      <c r="A552" s="1" t="n">
        <v>31</v>
      </c>
      <c r="B552" s="1" t="s">
        <v>131</v>
      </c>
      <c r="C552" s="1" t="s">
        <v>286</v>
      </c>
      <c r="D552" s="23" t="s">
        <v>290</v>
      </c>
      <c r="E552" s="1" t="s">
        <v>157</v>
      </c>
      <c r="F552" s="1" t="s">
        <v>138</v>
      </c>
      <c r="G552" s="21" t="n">
        <f aca="false">K552/3.1416</f>
        <v>2.54647313470843</v>
      </c>
      <c r="H552" s="1" t="n">
        <v>4</v>
      </c>
      <c r="I552" s="1" t="s">
        <v>234</v>
      </c>
      <c r="J552" s="1" t="s">
        <v>130</v>
      </c>
      <c r="K552" s="1" t="n">
        <v>8</v>
      </c>
    </row>
    <row r="553" customFormat="false" ht="14.25" hidden="true" customHeight="false" outlineLevel="0" collapsed="false">
      <c r="A553" s="1" t="n">
        <v>3</v>
      </c>
      <c r="B553" s="1" t="s">
        <v>82</v>
      </c>
      <c r="C553" s="1" t="s">
        <v>286</v>
      </c>
      <c r="D553" s="23"/>
      <c r="G553" s="21" t="n">
        <f aca="false">ROUND(K553/PI(),0)</f>
        <v>3</v>
      </c>
      <c r="H553" s="1" t="n">
        <v>4</v>
      </c>
      <c r="I553" s="1" t="s">
        <v>129</v>
      </c>
      <c r="J553" s="1" t="s">
        <v>162</v>
      </c>
      <c r="K553" s="1" t="n">
        <v>10</v>
      </c>
    </row>
    <row r="554" customFormat="false" ht="14.25" hidden="true" customHeight="false" outlineLevel="0" collapsed="false">
      <c r="A554" s="1" t="n">
        <v>3</v>
      </c>
      <c r="B554" s="1" t="s">
        <v>82</v>
      </c>
      <c r="C554" s="1" t="s">
        <v>286</v>
      </c>
      <c r="D554" s="23"/>
      <c r="G554" s="21" t="n">
        <f aca="false">ROUND(K554/PI(),0)</f>
        <v>3</v>
      </c>
      <c r="H554" s="1" t="n">
        <v>5</v>
      </c>
      <c r="I554" s="1" t="s">
        <v>129</v>
      </c>
      <c r="J554" s="1" t="s">
        <v>162</v>
      </c>
      <c r="K554" s="1" t="n">
        <v>10</v>
      </c>
    </row>
    <row r="555" customFormat="false" ht="14.25" hidden="true" customHeight="false" outlineLevel="0" collapsed="false">
      <c r="A555" s="1" t="n">
        <v>3</v>
      </c>
      <c r="B555" s="1" t="s">
        <v>82</v>
      </c>
      <c r="C555" s="1" t="s">
        <v>286</v>
      </c>
      <c r="D555" s="23"/>
      <c r="G555" s="21" t="n">
        <f aca="false">ROUND(K555/PI(),0)</f>
        <v>3</v>
      </c>
      <c r="H555" s="1" t="n">
        <v>5</v>
      </c>
      <c r="I555" s="1" t="s">
        <v>129</v>
      </c>
      <c r="J555" s="1" t="s">
        <v>162</v>
      </c>
      <c r="K555" s="1" t="n">
        <v>9</v>
      </c>
    </row>
    <row r="556" customFormat="false" ht="14.25" hidden="true" customHeight="false" outlineLevel="0" collapsed="false">
      <c r="A556" s="1" t="n">
        <v>4</v>
      </c>
      <c r="B556" s="1" t="s">
        <v>82</v>
      </c>
      <c r="C556" s="1" t="s">
        <v>286</v>
      </c>
      <c r="D556" s="23"/>
      <c r="E556" s="1" t="s">
        <v>142</v>
      </c>
      <c r="F556" s="1" t="s">
        <v>120</v>
      </c>
      <c r="G556" s="21" t="n">
        <f aca="false">ROUND(K556/PI(),0)</f>
        <v>3</v>
      </c>
      <c r="H556" s="1" t="n">
        <v>5</v>
      </c>
      <c r="I556" s="1" t="s">
        <v>129</v>
      </c>
      <c r="J556" s="1" t="s">
        <v>162</v>
      </c>
      <c r="K556" s="1" t="n">
        <v>8</v>
      </c>
    </row>
    <row r="557" customFormat="false" ht="14.25" hidden="true" customHeight="false" outlineLevel="0" collapsed="false">
      <c r="A557" s="1" t="n">
        <v>4</v>
      </c>
      <c r="B557" s="1" t="s">
        <v>82</v>
      </c>
      <c r="C557" s="1" t="s">
        <v>286</v>
      </c>
      <c r="D557" s="23"/>
      <c r="G557" s="21" t="n">
        <f aca="false">ROUND(K557/PI(),0)</f>
        <v>7</v>
      </c>
      <c r="H557" s="1" t="n">
        <v>7</v>
      </c>
      <c r="I557" s="1" t="s">
        <v>129</v>
      </c>
      <c r="J557" s="1" t="s">
        <v>162</v>
      </c>
      <c r="K557" s="1" t="n">
        <v>22</v>
      </c>
    </row>
    <row r="558" customFormat="false" ht="14.25" hidden="true" customHeight="false" outlineLevel="0" collapsed="false">
      <c r="A558" s="1" t="n">
        <v>6</v>
      </c>
      <c r="B558" s="1" t="s">
        <v>92</v>
      </c>
      <c r="C558" s="1" t="s">
        <v>286</v>
      </c>
      <c r="D558" s="23"/>
      <c r="G558" s="21" t="n">
        <f aca="false">ROUND(K558/PI(),0)</f>
        <v>10</v>
      </c>
      <c r="H558" s="1" t="n">
        <v>10</v>
      </c>
      <c r="I558" s="1" t="s">
        <v>129</v>
      </c>
      <c r="J558" s="1" t="s">
        <v>255</v>
      </c>
      <c r="K558" s="1" t="n">
        <v>32</v>
      </c>
    </row>
    <row r="559" customFormat="false" ht="14.25" hidden="true" customHeight="false" outlineLevel="0" collapsed="false">
      <c r="A559" s="1" t="n">
        <v>6</v>
      </c>
      <c r="B559" s="1" t="s">
        <v>92</v>
      </c>
      <c r="C559" s="1" t="s">
        <v>286</v>
      </c>
      <c r="D559" s="23"/>
      <c r="G559" s="21" t="n">
        <f aca="false">ROUND(K559/PI(),0)</f>
        <v>5</v>
      </c>
      <c r="H559" s="1" t="n">
        <v>8</v>
      </c>
      <c r="I559" s="1" t="s">
        <v>129</v>
      </c>
      <c r="J559" s="1" t="s">
        <v>152</v>
      </c>
      <c r="K559" s="1" t="n">
        <v>15</v>
      </c>
    </row>
    <row r="560" customFormat="false" ht="14.25" hidden="true" customHeight="false" outlineLevel="0" collapsed="false">
      <c r="A560" s="1" t="n">
        <v>8</v>
      </c>
      <c r="B560" s="1" t="s">
        <v>101</v>
      </c>
      <c r="C560" s="1" t="s">
        <v>286</v>
      </c>
      <c r="D560" s="23"/>
      <c r="G560" s="21" t="n">
        <f aca="false">ROUND(K560/PI(),0)</f>
        <v>12</v>
      </c>
      <c r="H560" s="1" t="n">
        <v>11</v>
      </c>
      <c r="I560" s="1" t="s">
        <v>129</v>
      </c>
      <c r="J560" s="1" t="s">
        <v>141</v>
      </c>
      <c r="K560" s="1" t="n">
        <v>37</v>
      </c>
    </row>
    <row r="561" customFormat="false" ht="14.25" hidden="true" customHeight="false" outlineLevel="0" collapsed="false">
      <c r="A561" s="1" t="n">
        <v>8</v>
      </c>
      <c r="B561" s="1" t="s">
        <v>101</v>
      </c>
      <c r="C561" s="1" t="s">
        <v>286</v>
      </c>
      <c r="D561" s="23"/>
      <c r="E561" s="1" t="s">
        <v>210</v>
      </c>
      <c r="F561" s="1" t="s">
        <v>120</v>
      </c>
      <c r="G561" s="21" t="n">
        <f aca="false">ROUND(K561/PI(),0)</f>
        <v>4</v>
      </c>
      <c r="H561" s="1" t="n">
        <v>5</v>
      </c>
      <c r="I561" s="1" t="s">
        <v>134</v>
      </c>
      <c r="J561" s="1" t="s">
        <v>141</v>
      </c>
      <c r="K561" s="1" t="n">
        <v>11</v>
      </c>
    </row>
    <row r="562" customFormat="false" ht="14.25" hidden="true" customHeight="false" outlineLevel="0" collapsed="false">
      <c r="A562" s="1" t="n">
        <v>3</v>
      </c>
      <c r="B562" s="1" t="s">
        <v>122</v>
      </c>
      <c r="C562" s="1" t="s">
        <v>291</v>
      </c>
      <c r="D562" s="23"/>
      <c r="G562" s="21" t="n">
        <f aca="false">K562/3.1416</f>
        <v>3.18309141838554</v>
      </c>
      <c r="H562" s="1" t="n">
        <v>0</v>
      </c>
      <c r="I562" s="2" t="s">
        <v>74</v>
      </c>
      <c r="J562" s="1" t="s">
        <v>149</v>
      </c>
      <c r="K562" s="1" t="n">
        <v>10</v>
      </c>
    </row>
    <row r="563" customFormat="false" ht="14.25" hidden="true" customHeight="false" outlineLevel="0" collapsed="false">
      <c r="A563" s="1" t="n">
        <v>3</v>
      </c>
      <c r="B563" s="1" t="s">
        <v>122</v>
      </c>
      <c r="C563" s="1" t="s">
        <v>291</v>
      </c>
      <c r="D563" s="23"/>
      <c r="G563" s="21" t="n">
        <f aca="false">K563/3.1416</f>
        <v>3.18309141838554</v>
      </c>
      <c r="H563" s="1" t="n">
        <v>0</v>
      </c>
      <c r="I563" s="2" t="s">
        <v>74</v>
      </c>
      <c r="J563" s="1" t="s">
        <v>149</v>
      </c>
      <c r="K563" s="1" t="n">
        <v>10</v>
      </c>
    </row>
    <row r="564" customFormat="false" ht="14.25" hidden="true" customHeight="false" outlineLevel="0" collapsed="false">
      <c r="A564" s="1" t="n">
        <v>8</v>
      </c>
      <c r="B564" s="1" t="s">
        <v>122</v>
      </c>
      <c r="C564" s="1" t="s">
        <v>291</v>
      </c>
      <c r="D564" s="23"/>
      <c r="G564" s="21" t="n">
        <f aca="false">K564/3.1416</f>
        <v>12.7323656735421</v>
      </c>
      <c r="H564" s="1" t="n">
        <v>12</v>
      </c>
      <c r="I564" s="2" t="s">
        <v>129</v>
      </c>
      <c r="J564" s="1" t="s">
        <v>149</v>
      </c>
      <c r="K564" s="1" t="n">
        <v>40</v>
      </c>
    </row>
    <row r="565" customFormat="false" ht="14.25" hidden="true" customHeight="false" outlineLevel="0" collapsed="false">
      <c r="A565" s="1" t="n">
        <v>10</v>
      </c>
      <c r="B565" s="1" t="s">
        <v>82</v>
      </c>
      <c r="C565" s="1" t="s">
        <v>291</v>
      </c>
      <c r="D565" s="23"/>
      <c r="G565" s="21" t="n">
        <f aca="false">K565/3.1416</f>
        <v>34.0590781767252</v>
      </c>
      <c r="H565" s="1" t="n">
        <v>20</v>
      </c>
      <c r="I565" s="1" t="s">
        <v>129</v>
      </c>
      <c r="J565" s="1" t="s">
        <v>149</v>
      </c>
      <c r="K565" s="1" t="n">
        <v>107</v>
      </c>
    </row>
    <row r="566" customFormat="false" ht="14.25" hidden="true" customHeight="false" outlineLevel="0" collapsed="false">
      <c r="A566" s="1" t="n">
        <v>31</v>
      </c>
      <c r="B566" s="1" t="s">
        <v>131</v>
      </c>
      <c r="C566" s="1" t="s">
        <v>291</v>
      </c>
      <c r="D566" s="23"/>
      <c r="G566" s="21" t="n">
        <f aca="false">K566/3.1416</f>
        <v>2.86478227654698</v>
      </c>
      <c r="H566" s="1" t="n">
        <v>6</v>
      </c>
      <c r="I566" s="1" t="s">
        <v>129</v>
      </c>
      <c r="J566" s="1" t="s">
        <v>149</v>
      </c>
      <c r="K566" s="1" t="n">
        <v>9</v>
      </c>
    </row>
    <row r="567" customFormat="false" ht="14.25" hidden="true" customHeight="false" outlineLevel="0" collapsed="false">
      <c r="A567" s="1" t="n">
        <v>2</v>
      </c>
      <c r="B567" s="1" t="s">
        <v>72</v>
      </c>
      <c r="C567" s="1" t="s">
        <v>291</v>
      </c>
      <c r="D567" s="23"/>
      <c r="G567" s="21" t="n">
        <f aca="false">ROUND(K567/PI(),0)</f>
        <v>5</v>
      </c>
      <c r="H567" s="1" t="n">
        <v>7</v>
      </c>
      <c r="I567" s="1" t="s">
        <v>129</v>
      </c>
      <c r="J567" s="1" t="s">
        <v>230</v>
      </c>
      <c r="K567" s="1" t="n">
        <v>17</v>
      </c>
    </row>
    <row r="568" customFormat="false" ht="14.25" hidden="true" customHeight="false" outlineLevel="0" collapsed="false">
      <c r="A568" s="1" t="n">
        <v>6</v>
      </c>
      <c r="B568" s="1" t="s">
        <v>92</v>
      </c>
      <c r="C568" s="1" t="s">
        <v>292</v>
      </c>
      <c r="D568" s="23"/>
      <c r="E568" s="1" t="s">
        <v>156</v>
      </c>
      <c r="F568" s="1" t="s">
        <v>120</v>
      </c>
      <c r="G568" s="21" t="n">
        <f aca="false">ROUND(K568/PI(),0)</f>
        <v>3</v>
      </c>
      <c r="H568" s="1" t="n">
        <v>5</v>
      </c>
      <c r="I568" s="1" t="s">
        <v>129</v>
      </c>
      <c r="J568" s="1" t="s">
        <v>162</v>
      </c>
      <c r="K568" s="1" t="n">
        <v>10</v>
      </c>
    </row>
    <row r="569" customFormat="false" ht="14.25" hidden="true" customHeight="false" outlineLevel="0" collapsed="false">
      <c r="A569" s="1" t="n">
        <v>1</v>
      </c>
      <c r="B569" s="1" t="s">
        <v>82</v>
      </c>
      <c r="C569" s="1" t="s">
        <v>293</v>
      </c>
      <c r="D569" s="23" t="s">
        <v>189</v>
      </c>
      <c r="E569" s="1" t="s">
        <v>145</v>
      </c>
      <c r="F569" s="2" t="s">
        <v>120</v>
      </c>
      <c r="G569" s="21" t="n">
        <f aca="false">K569/3.1416</f>
        <v>7.00280112044818</v>
      </c>
      <c r="H569" s="1" t="n">
        <v>0</v>
      </c>
      <c r="I569" s="2" t="s">
        <v>74</v>
      </c>
      <c r="J569" s="1" t="s">
        <v>130</v>
      </c>
      <c r="K569" s="1" t="n">
        <v>22</v>
      </c>
    </row>
    <row r="570" customFormat="false" ht="14.25" hidden="true" customHeight="false" outlineLevel="0" collapsed="false">
      <c r="A570" s="1" t="n">
        <v>1</v>
      </c>
      <c r="B570" s="1" t="s">
        <v>82</v>
      </c>
      <c r="C570" s="1" t="s">
        <v>293</v>
      </c>
      <c r="D570" s="23" t="s">
        <v>189</v>
      </c>
      <c r="E570" s="1" t="s">
        <v>145</v>
      </c>
      <c r="F570" s="2" t="s">
        <v>120</v>
      </c>
      <c r="G570" s="21" t="n">
        <f aca="false">K570/3.1416</f>
        <v>7.00280112044818</v>
      </c>
      <c r="H570" s="1" t="n">
        <v>0</v>
      </c>
      <c r="I570" s="2" t="s">
        <v>74</v>
      </c>
      <c r="J570" s="1" t="s">
        <v>130</v>
      </c>
      <c r="K570" s="1" t="n">
        <v>22</v>
      </c>
    </row>
    <row r="571" customFormat="false" ht="14.25" hidden="true" customHeight="false" outlineLevel="0" collapsed="false">
      <c r="A571" s="1" t="n">
        <v>1</v>
      </c>
      <c r="B571" s="1" t="s">
        <v>82</v>
      </c>
      <c r="C571" s="1" t="s">
        <v>293</v>
      </c>
      <c r="D571" s="23" t="s">
        <v>189</v>
      </c>
      <c r="E571" s="1" t="s">
        <v>145</v>
      </c>
      <c r="F571" s="2" t="s">
        <v>120</v>
      </c>
      <c r="G571" s="21" t="n">
        <f aca="false">K571/3.1416</f>
        <v>7.00280112044818</v>
      </c>
      <c r="H571" s="1" t="n">
        <v>0</v>
      </c>
      <c r="I571" s="2" t="s">
        <v>74</v>
      </c>
      <c r="J571" s="1" t="s">
        <v>130</v>
      </c>
      <c r="K571" s="1" t="n">
        <v>22</v>
      </c>
    </row>
    <row r="572" customFormat="false" ht="14.25" hidden="true" customHeight="false" outlineLevel="0" collapsed="false">
      <c r="A572" s="1" t="n">
        <v>2</v>
      </c>
      <c r="B572" s="1" t="s">
        <v>82</v>
      </c>
      <c r="C572" s="1" t="s">
        <v>293</v>
      </c>
      <c r="D572" s="23"/>
      <c r="G572" s="21" t="n">
        <f aca="false">K572/3.1416</f>
        <v>4.1380188439012</v>
      </c>
      <c r="H572" s="1" t="n">
        <v>0</v>
      </c>
      <c r="I572" s="2" t="s">
        <v>74</v>
      </c>
      <c r="J572" s="1" t="s">
        <v>130</v>
      </c>
      <c r="K572" s="1" t="n">
        <v>13</v>
      </c>
    </row>
    <row r="573" customFormat="false" ht="14.25" hidden="true" customHeight="false" outlineLevel="0" collapsed="false">
      <c r="A573" s="1" t="n">
        <v>6</v>
      </c>
      <c r="B573" s="1" t="s">
        <v>122</v>
      </c>
      <c r="C573" s="1" t="s">
        <v>293</v>
      </c>
      <c r="D573" s="23" t="s">
        <v>194</v>
      </c>
      <c r="E573" s="1" t="s">
        <v>156</v>
      </c>
      <c r="F573" s="2" t="s">
        <v>120</v>
      </c>
      <c r="G573" s="21" t="n">
        <f aca="false">K573/3.1416</f>
        <v>5.09294626941686</v>
      </c>
      <c r="H573" s="1" t="n">
        <v>5</v>
      </c>
      <c r="I573" s="2" t="s">
        <v>74</v>
      </c>
      <c r="J573" s="1" t="s">
        <v>130</v>
      </c>
      <c r="K573" s="1" t="n">
        <v>16</v>
      </c>
    </row>
    <row r="574" customFormat="false" ht="14.25" hidden="true" customHeight="false" outlineLevel="0" collapsed="false">
      <c r="A574" s="1" t="n">
        <v>6</v>
      </c>
      <c r="B574" s="1" t="s">
        <v>122</v>
      </c>
      <c r="C574" s="1" t="s">
        <v>293</v>
      </c>
      <c r="D574" s="23" t="s">
        <v>194</v>
      </c>
      <c r="E574" s="1" t="s">
        <v>156</v>
      </c>
      <c r="F574" s="2" t="s">
        <v>120</v>
      </c>
      <c r="G574" s="21" t="n">
        <f aca="false">K574/3.1416</f>
        <v>6.04787369493252</v>
      </c>
      <c r="H574" s="1" t="n">
        <v>5</v>
      </c>
      <c r="I574" s="2" t="s">
        <v>74</v>
      </c>
      <c r="J574" s="1" t="s">
        <v>130</v>
      </c>
      <c r="K574" s="1" t="n">
        <v>19</v>
      </c>
    </row>
    <row r="575" customFormat="false" ht="14.25" hidden="true" customHeight="false" outlineLevel="0" collapsed="false">
      <c r="A575" s="1" t="n">
        <v>6</v>
      </c>
      <c r="B575" s="1" t="s">
        <v>122</v>
      </c>
      <c r="C575" s="1" t="s">
        <v>293</v>
      </c>
      <c r="D575" s="23" t="s">
        <v>194</v>
      </c>
      <c r="E575" s="1" t="s">
        <v>156</v>
      </c>
      <c r="F575" s="2" t="s">
        <v>120</v>
      </c>
      <c r="G575" s="21" t="n">
        <f aca="false">K575/3.1416</f>
        <v>5.09294626941686</v>
      </c>
      <c r="H575" s="1" t="n">
        <v>3</v>
      </c>
      <c r="I575" s="2" t="s">
        <v>74</v>
      </c>
      <c r="J575" s="1" t="s">
        <v>130</v>
      </c>
      <c r="K575" s="1" t="n">
        <v>16</v>
      </c>
    </row>
    <row r="576" customFormat="false" ht="14.25" hidden="true" customHeight="false" outlineLevel="0" collapsed="false">
      <c r="A576" s="1" t="n">
        <v>6</v>
      </c>
      <c r="B576" s="1" t="s">
        <v>122</v>
      </c>
      <c r="C576" s="1" t="s">
        <v>293</v>
      </c>
      <c r="D576" s="23" t="s">
        <v>294</v>
      </c>
      <c r="E576" s="1" t="s">
        <v>156</v>
      </c>
      <c r="F576" s="2" t="s">
        <v>120</v>
      </c>
      <c r="G576" s="21" t="n">
        <f aca="false">K576/3.1416</f>
        <v>3.81970970206264</v>
      </c>
      <c r="H576" s="1" t="n">
        <v>5</v>
      </c>
      <c r="I576" s="2" t="s">
        <v>74</v>
      </c>
      <c r="J576" s="1" t="s">
        <v>130</v>
      </c>
      <c r="K576" s="1" t="n">
        <v>12</v>
      </c>
    </row>
    <row r="577" customFormat="false" ht="14.25" hidden="true" customHeight="false" outlineLevel="0" collapsed="false">
      <c r="A577" s="1" t="n">
        <v>6</v>
      </c>
      <c r="B577" s="1" t="s">
        <v>122</v>
      </c>
      <c r="C577" s="1" t="s">
        <v>293</v>
      </c>
      <c r="D577" s="23" t="s">
        <v>294</v>
      </c>
      <c r="E577" s="1" t="s">
        <v>156</v>
      </c>
      <c r="F577" s="2" t="s">
        <v>120</v>
      </c>
      <c r="G577" s="21" t="n">
        <f aca="false">K577/3.1416</f>
        <v>5.09294626941686</v>
      </c>
      <c r="H577" s="1" t="n">
        <v>7</v>
      </c>
      <c r="I577" s="2" t="s">
        <v>74</v>
      </c>
      <c r="J577" s="1" t="s">
        <v>130</v>
      </c>
      <c r="K577" s="1" t="n">
        <v>16</v>
      </c>
    </row>
    <row r="578" customFormat="false" ht="14.25" hidden="true" customHeight="false" outlineLevel="0" collapsed="false">
      <c r="A578" s="1" t="n">
        <v>8</v>
      </c>
      <c r="B578" s="1" t="s">
        <v>122</v>
      </c>
      <c r="C578" s="1" t="s">
        <v>293</v>
      </c>
      <c r="D578" s="23"/>
      <c r="G578" s="21" t="n">
        <f aca="false">K578/3.1416</f>
        <v>3.18309141838554</v>
      </c>
      <c r="H578" s="1" t="n">
        <v>2.5</v>
      </c>
      <c r="I578" s="2" t="s">
        <v>127</v>
      </c>
      <c r="J578" s="1" t="s">
        <v>130</v>
      </c>
      <c r="K578" s="1" t="n">
        <v>10</v>
      </c>
    </row>
    <row r="579" customFormat="false" ht="14.25" hidden="true" customHeight="false" outlineLevel="0" collapsed="false">
      <c r="A579" s="1" t="n">
        <v>11</v>
      </c>
      <c r="B579" s="1" t="s">
        <v>82</v>
      </c>
      <c r="C579" s="1" t="s">
        <v>293</v>
      </c>
      <c r="D579" s="23"/>
      <c r="G579" s="21" t="n">
        <f aca="false">K579/3.1416</f>
        <v>3.18309141838554</v>
      </c>
      <c r="H579" s="1" t="n">
        <v>5</v>
      </c>
      <c r="I579" s="1" t="s">
        <v>129</v>
      </c>
      <c r="J579" s="1" t="s">
        <v>130</v>
      </c>
      <c r="K579" s="1" t="n">
        <v>10</v>
      </c>
    </row>
    <row r="580" customFormat="false" ht="14.25" hidden="true" customHeight="false" outlineLevel="0" collapsed="false">
      <c r="A580" s="1" t="n">
        <v>12</v>
      </c>
      <c r="B580" s="1" t="s">
        <v>128</v>
      </c>
      <c r="C580" s="1" t="s">
        <v>293</v>
      </c>
      <c r="D580" s="23"/>
      <c r="G580" s="21" t="n">
        <f aca="false">K580/3.1416</f>
        <v>2.54647313470843</v>
      </c>
      <c r="H580" s="1" t="n">
        <v>3</v>
      </c>
      <c r="I580" s="1" t="s">
        <v>134</v>
      </c>
      <c r="J580" s="1" t="s">
        <v>130</v>
      </c>
      <c r="K580" s="1" t="n">
        <v>8</v>
      </c>
    </row>
    <row r="581" customFormat="false" ht="14.25" hidden="true" customHeight="false" outlineLevel="0" collapsed="false">
      <c r="A581" s="1" t="n">
        <v>12</v>
      </c>
      <c r="B581" s="1" t="s">
        <v>128</v>
      </c>
      <c r="C581" s="1" t="s">
        <v>293</v>
      </c>
      <c r="D581" s="23" t="s">
        <v>295</v>
      </c>
      <c r="E581" s="1" t="s">
        <v>156</v>
      </c>
      <c r="F581" s="1" t="s">
        <v>120</v>
      </c>
      <c r="G581" s="21" t="n">
        <f aca="false">K581/3.1416</f>
        <v>8.9126559714795</v>
      </c>
      <c r="H581" s="1" t="n">
        <v>8</v>
      </c>
      <c r="I581" s="1" t="s">
        <v>129</v>
      </c>
      <c r="J581" s="1" t="s">
        <v>130</v>
      </c>
      <c r="K581" s="1" t="n">
        <v>28</v>
      </c>
    </row>
    <row r="582" customFormat="false" ht="14.25" hidden="true" customHeight="false" outlineLevel="0" collapsed="false">
      <c r="A582" s="1" t="n">
        <v>12</v>
      </c>
      <c r="B582" s="1" t="s">
        <v>128</v>
      </c>
      <c r="C582" s="1" t="s">
        <v>293</v>
      </c>
      <c r="D582" s="23" t="s">
        <v>295</v>
      </c>
      <c r="E582" s="1" t="s">
        <v>156</v>
      </c>
      <c r="F582" s="1" t="s">
        <v>120</v>
      </c>
      <c r="G582" s="21" t="n">
        <f aca="false">K582/3.1416</f>
        <v>8.9126559714795</v>
      </c>
      <c r="H582" s="1" t="n">
        <v>6</v>
      </c>
      <c r="I582" s="1" t="s">
        <v>129</v>
      </c>
      <c r="J582" s="1" t="s">
        <v>130</v>
      </c>
      <c r="K582" s="1" t="n">
        <v>28</v>
      </c>
    </row>
    <row r="583" customFormat="false" ht="14.25" hidden="true" customHeight="false" outlineLevel="0" collapsed="false">
      <c r="A583" s="1" t="n">
        <v>12</v>
      </c>
      <c r="B583" s="1" t="s">
        <v>128</v>
      </c>
      <c r="C583" s="1" t="s">
        <v>293</v>
      </c>
      <c r="D583" s="23" t="s">
        <v>216</v>
      </c>
      <c r="E583" s="1" t="s">
        <v>203</v>
      </c>
      <c r="F583" s="1" t="s">
        <v>138</v>
      </c>
      <c r="G583" s="21" t="n">
        <f aca="false">K583/3.1416</f>
        <v>5.41125541125541</v>
      </c>
      <c r="H583" s="1" t="n">
        <v>5</v>
      </c>
      <c r="I583" s="1" t="s">
        <v>129</v>
      </c>
      <c r="J583" s="1" t="s">
        <v>130</v>
      </c>
      <c r="K583" s="1" t="n">
        <v>17</v>
      </c>
    </row>
    <row r="584" customFormat="false" ht="14.25" hidden="true" customHeight="false" outlineLevel="0" collapsed="false">
      <c r="A584" s="1" t="n">
        <v>12</v>
      </c>
      <c r="B584" s="1" t="s">
        <v>128</v>
      </c>
      <c r="C584" s="1" t="s">
        <v>293</v>
      </c>
      <c r="D584" s="23" t="s">
        <v>216</v>
      </c>
      <c r="E584" s="1" t="s">
        <v>203</v>
      </c>
      <c r="F584" s="1" t="s">
        <v>138</v>
      </c>
      <c r="G584" s="21" t="n">
        <f aca="false">K584/3.1416</f>
        <v>7.00280112044818</v>
      </c>
      <c r="H584" s="1" t="n">
        <v>7</v>
      </c>
      <c r="I584" s="1" t="s">
        <v>129</v>
      </c>
      <c r="J584" s="1" t="s">
        <v>130</v>
      </c>
      <c r="K584" s="1" t="n">
        <v>22</v>
      </c>
    </row>
    <row r="585" customFormat="false" ht="14.25" hidden="true" customHeight="false" outlineLevel="0" collapsed="false">
      <c r="A585" s="1" t="n">
        <v>13</v>
      </c>
      <c r="B585" s="1" t="s">
        <v>128</v>
      </c>
      <c r="C585" s="1" t="s">
        <v>293</v>
      </c>
      <c r="D585" s="23" t="s">
        <v>154</v>
      </c>
      <c r="E585" s="1" t="s">
        <v>155</v>
      </c>
      <c r="F585" s="1" t="s">
        <v>120</v>
      </c>
      <c r="G585" s="21" t="n">
        <f aca="false">2*K585/3.1416</f>
        <v>24.1914947797301</v>
      </c>
      <c r="H585" s="1" t="n">
        <v>8</v>
      </c>
      <c r="I585" s="1" t="s">
        <v>129</v>
      </c>
      <c r="J585" s="1" t="s">
        <v>130</v>
      </c>
      <c r="K585" s="1" t="n">
        <v>38</v>
      </c>
    </row>
    <row r="586" customFormat="false" ht="14.25" hidden="true" customHeight="false" outlineLevel="0" collapsed="false">
      <c r="A586" s="1" t="n">
        <v>13</v>
      </c>
      <c r="B586" s="1" t="s">
        <v>128</v>
      </c>
      <c r="C586" s="1" t="s">
        <v>293</v>
      </c>
      <c r="D586" s="23"/>
      <c r="G586" s="21" t="n">
        <f aca="false">2*K586/3.1416</f>
        <v>19.7351667939903</v>
      </c>
      <c r="H586" s="1" t="n">
        <v>10</v>
      </c>
      <c r="I586" s="1" t="s">
        <v>129</v>
      </c>
      <c r="J586" s="1" t="s">
        <v>130</v>
      </c>
      <c r="K586" s="1" t="n">
        <v>31</v>
      </c>
    </row>
    <row r="587" customFormat="false" ht="14.25" hidden="true" customHeight="false" outlineLevel="0" collapsed="false">
      <c r="A587" s="1" t="n">
        <v>21</v>
      </c>
      <c r="B587" s="1" t="s">
        <v>135</v>
      </c>
      <c r="C587" s="1" t="s">
        <v>293</v>
      </c>
      <c r="D587" s="23" t="s">
        <v>194</v>
      </c>
      <c r="E587" s="1" t="s">
        <v>156</v>
      </c>
      <c r="F587" s="1" t="s">
        <v>120</v>
      </c>
      <c r="G587" s="21" t="n">
        <f aca="false">K587/3.1416</f>
        <v>2.54647313470843</v>
      </c>
      <c r="H587" s="1" t="n">
        <v>3</v>
      </c>
      <c r="I587" s="1" t="s">
        <v>129</v>
      </c>
      <c r="J587" s="1" t="s">
        <v>130</v>
      </c>
      <c r="K587" s="1" t="n">
        <v>8</v>
      </c>
    </row>
    <row r="588" customFormat="false" ht="14.25" hidden="true" customHeight="false" outlineLevel="0" collapsed="false">
      <c r="A588" s="1" t="n">
        <v>24</v>
      </c>
      <c r="B588" s="1" t="s">
        <v>135</v>
      </c>
      <c r="C588" s="1" t="s">
        <v>293</v>
      </c>
      <c r="D588" s="23" t="s">
        <v>154</v>
      </c>
      <c r="E588" s="1" t="s">
        <v>155</v>
      </c>
      <c r="F588" s="1" t="s">
        <v>120</v>
      </c>
      <c r="G588" s="21" t="n">
        <f aca="false">K588/3.1416</f>
        <v>3.81970970206264</v>
      </c>
      <c r="H588" s="1" t="n">
        <v>5</v>
      </c>
      <c r="I588" s="1" t="s">
        <v>127</v>
      </c>
      <c r="J588" s="1" t="s">
        <v>130</v>
      </c>
      <c r="K588" s="1" t="n">
        <v>12</v>
      </c>
    </row>
    <row r="589" customFormat="false" ht="14.25" hidden="true" customHeight="false" outlineLevel="0" collapsed="false">
      <c r="A589" s="1" t="n">
        <v>25</v>
      </c>
      <c r="B589" s="1" t="s">
        <v>135</v>
      </c>
      <c r="C589" s="1" t="s">
        <v>293</v>
      </c>
      <c r="D589" s="23" t="s">
        <v>287</v>
      </c>
      <c r="E589" s="1" t="s">
        <v>157</v>
      </c>
      <c r="F589" s="1" t="s">
        <v>138</v>
      </c>
      <c r="G589" s="21" t="n">
        <f aca="false">K589/3.1416</f>
        <v>3.81970970206264</v>
      </c>
      <c r="H589" s="1" t="n">
        <v>3</v>
      </c>
      <c r="I589" s="1" t="s">
        <v>134</v>
      </c>
      <c r="J589" s="1" t="s">
        <v>130</v>
      </c>
      <c r="K589" s="1" t="n">
        <v>12</v>
      </c>
    </row>
    <row r="590" customFormat="false" ht="14.25" hidden="true" customHeight="false" outlineLevel="0" collapsed="false">
      <c r="A590" s="1" t="n">
        <v>25</v>
      </c>
      <c r="B590" s="1" t="s">
        <v>135</v>
      </c>
      <c r="C590" s="1" t="s">
        <v>293</v>
      </c>
      <c r="D590" s="23"/>
      <c r="G590" s="21" t="n">
        <f aca="false">K590/3.1416</f>
        <v>2.86478227654698</v>
      </c>
      <c r="H590" s="1" t="n">
        <v>3</v>
      </c>
      <c r="I590" s="1" t="s">
        <v>134</v>
      </c>
      <c r="J590" s="1" t="s">
        <v>130</v>
      </c>
      <c r="K590" s="1" t="n">
        <v>9</v>
      </c>
    </row>
    <row r="591" customFormat="false" ht="14.25" hidden="true" customHeight="false" outlineLevel="0" collapsed="false">
      <c r="A591" s="1" t="n">
        <v>25</v>
      </c>
      <c r="B591" s="1" t="s">
        <v>135</v>
      </c>
      <c r="C591" s="1" t="s">
        <v>293</v>
      </c>
      <c r="D591" s="23"/>
      <c r="G591" s="21" t="n">
        <f aca="false">K591/3.1416</f>
        <v>2.54647313470843</v>
      </c>
      <c r="H591" s="1" t="n">
        <v>2</v>
      </c>
      <c r="I591" s="1" t="s">
        <v>129</v>
      </c>
      <c r="J591" s="1" t="s">
        <v>130</v>
      </c>
      <c r="K591" s="1" t="n">
        <v>8</v>
      </c>
    </row>
    <row r="592" customFormat="false" ht="14.25" hidden="true" customHeight="false" outlineLevel="0" collapsed="false">
      <c r="A592" s="1" t="n">
        <v>26</v>
      </c>
      <c r="B592" s="1" t="s">
        <v>135</v>
      </c>
      <c r="C592" s="1" t="s">
        <v>293</v>
      </c>
      <c r="D592" s="23"/>
      <c r="G592" s="21" t="n">
        <f aca="false">K592/3.1416</f>
        <v>3.18309141838554</v>
      </c>
      <c r="H592" s="1" t="n">
        <v>6</v>
      </c>
      <c r="I592" s="1" t="s">
        <v>129</v>
      </c>
      <c r="J592" s="1" t="s">
        <v>130</v>
      </c>
      <c r="K592" s="1" t="n">
        <v>10</v>
      </c>
    </row>
    <row r="593" customFormat="false" ht="14.25" hidden="true" customHeight="false" outlineLevel="0" collapsed="false">
      <c r="A593" s="1" t="n">
        <v>4</v>
      </c>
      <c r="B593" s="1" t="s">
        <v>82</v>
      </c>
      <c r="C593" s="1" t="s">
        <v>293</v>
      </c>
      <c r="D593" s="23"/>
      <c r="E593" s="1" t="s">
        <v>156</v>
      </c>
      <c r="F593" s="1" t="s">
        <v>120</v>
      </c>
      <c r="G593" s="21" t="n">
        <f aca="false">ROUND(K593/PI(),0)</f>
        <v>3</v>
      </c>
      <c r="H593" s="1" t="n">
        <v>4</v>
      </c>
      <c r="I593" s="1" t="s">
        <v>129</v>
      </c>
      <c r="J593" s="1" t="s">
        <v>162</v>
      </c>
      <c r="K593" s="1" t="n">
        <v>9</v>
      </c>
    </row>
    <row r="594" customFormat="false" ht="14.25" hidden="true" customHeight="false" outlineLevel="0" collapsed="false">
      <c r="A594" s="1" t="n">
        <v>7</v>
      </c>
      <c r="B594" s="1" t="s">
        <v>101</v>
      </c>
      <c r="C594" s="1" t="s">
        <v>293</v>
      </c>
      <c r="D594" s="23"/>
      <c r="G594" s="21" t="n">
        <f aca="false">ROUND(K594/PI(),0)</f>
        <v>5</v>
      </c>
      <c r="H594" s="1" t="n">
        <v>8</v>
      </c>
      <c r="I594" s="1" t="s">
        <v>129</v>
      </c>
      <c r="J594" s="1" t="s">
        <v>149</v>
      </c>
      <c r="K594" s="1" t="n">
        <v>15</v>
      </c>
    </row>
    <row r="595" customFormat="false" ht="14.25" hidden="true" customHeight="false" outlineLevel="0" collapsed="false">
      <c r="A595" s="1" t="n">
        <v>7</v>
      </c>
      <c r="B595" s="1" t="s">
        <v>101</v>
      </c>
      <c r="C595" s="1" t="s">
        <v>293</v>
      </c>
      <c r="D595" s="23"/>
      <c r="G595" s="21" t="n">
        <f aca="false">ROUND(K595/PI(),0)</f>
        <v>4</v>
      </c>
      <c r="H595" s="1" t="n">
        <v>5</v>
      </c>
      <c r="I595" s="1" t="s">
        <v>127</v>
      </c>
      <c r="J595" s="1" t="s">
        <v>149</v>
      </c>
      <c r="K595" s="1" t="n">
        <v>13</v>
      </c>
    </row>
    <row r="596" customFormat="false" ht="14.25" hidden="true" customHeight="false" outlineLevel="0" collapsed="false">
      <c r="A596" s="1" t="n">
        <v>6</v>
      </c>
      <c r="B596" s="1" t="s">
        <v>122</v>
      </c>
      <c r="C596" s="1" t="s">
        <v>296</v>
      </c>
      <c r="D596" s="23" t="s">
        <v>297</v>
      </c>
      <c r="E596" s="1" t="s">
        <v>210</v>
      </c>
      <c r="F596" s="2" t="s">
        <v>197</v>
      </c>
      <c r="G596" s="21" t="n">
        <f aca="false">K596/3.1416</f>
        <v>2.22816399286988</v>
      </c>
      <c r="H596" s="1" t="n">
        <v>2.5</v>
      </c>
      <c r="I596" s="2" t="s">
        <v>74</v>
      </c>
      <c r="J596" s="1" t="s">
        <v>130</v>
      </c>
      <c r="K596" s="1" t="n">
        <v>7</v>
      </c>
    </row>
    <row r="597" customFormat="false" ht="14.25" hidden="true" customHeight="false" outlineLevel="0" collapsed="false">
      <c r="A597" s="1" t="n">
        <v>6</v>
      </c>
      <c r="B597" s="1" t="s">
        <v>122</v>
      </c>
      <c r="C597" s="1" t="s">
        <v>296</v>
      </c>
      <c r="D597" s="23" t="s">
        <v>297</v>
      </c>
      <c r="E597" s="1" t="s">
        <v>210</v>
      </c>
      <c r="F597" s="2" t="s">
        <v>197</v>
      </c>
      <c r="G597" s="21" t="n">
        <f aca="false">K597/3.1416</f>
        <v>2.22816399286988</v>
      </c>
      <c r="H597" s="1" t="n">
        <v>3</v>
      </c>
      <c r="I597" s="2" t="s">
        <v>234</v>
      </c>
      <c r="J597" s="1" t="s">
        <v>130</v>
      </c>
      <c r="K597" s="1" t="n">
        <v>7</v>
      </c>
    </row>
    <row r="598" customFormat="false" ht="14.25" hidden="true" customHeight="false" outlineLevel="0" collapsed="false">
      <c r="A598" s="1" t="n">
        <v>7</v>
      </c>
      <c r="B598" s="1" t="s">
        <v>122</v>
      </c>
      <c r="C598" s="1" t="s">
        <v>296</v>
      </c>
      <c r="D598" s="23"/>
      <c r="G598" s="21" t="n">
        <f aca="false">K598/3.1416</f>
        <v>7.32111026228673</v>
      </c>
      <c r="H598" s="1" t="n">
        <v>12</v>
      </c>
      <c r="I598" s="2" t="s">
        <v>74</v>
      </c>
      <c r="J598" s="1" t="s">
        <v>130</v>
      </c>
      <c r="K598" s="1" t="n">
        <v>23</v>
      </c>
    </row>
    <row r="599" customFormat="false" ht="14.25" hidden="true" customHeight="false" outlineLevel="0" collapsed="false">
      <c r="A599" s="1" t="n">
        <v>8</v>
      </c>
      <c r="B599" s="1" t="s">
        <v>122</v>
      </c>
      <c r="C599" s="1" t="s">
        <v>296</v>
      </c>
      <c r="D599" s="23"/>
      <c r="G599" s="21" t="n">
        <f aca="false">K599/3.1416</f>
        <v>20.0534759358289</v>
      </c>
      <c r="H599" s="1" t="n">
        <v>13</v>
      </c>
      <c r="I599" s="2" t="s">
        <v>129</v>
      </c>
      <c r="J599" s="1" t="s">
        <v>130</v>
      </c>
      <c r="K599" s="1" t="n">
        <v>63</v>
      </c>
    </row>
    <row r="600" customFormat="false" ht="14.25" hidden="true" customHeight="false" outlineLevel="0" collapsed="false">
      <c r="A600" s="1" t="n">
        <v>9</v>
      </c>
      <c r="B600" s="1" t="s">
        <v>122</v>
      </c>
      <c r="C600" s="1" t="s">
        <v>296</v>
      </c>
      <c r="D600" s="23"/>
      <c r="G600" s="21" t="n">
        <f aca="false">K600/3.1416</f>
        <v>7.00280112044818</v>
      </c>
      <c r="H600" s="1" t="n">
        <v>10</v>
      </c>
      <c r="I600" s="2" t="s">
        <v>129</v>
      </c>
      <c r="J600" s="1" t="s">
        <v>130</v>
      </c>
      <c r="K600" s="1" t="n">
        <v>22</v>
      </c>
    </row>
    <row r="601" customFormat="false" ht="14.25" hidden="true" customHeight="false" outlineLevel="0" collapsed="false">
      <c r="A601" s="1" t="n">
        <v>10</v>
      </c>
      <c r="B601" s="1" t="s">
        <v>82</v>
      </c>
      <c r="C601" s="1" t="s">
        <v>296</v>
      </c>
      <c r="D601" s="23" t="s">
        <v>298</v>
      </c>
      <c r="E601" s="1" t="s">
        <v>299</v>
      </c>
      <c r="F601" s="1" t="s">
        <v>138</v>
      </c>
      <c r="G601" s="21" t="n">
        <f aca="false">K601/3.1416</f>
        <v>26.4196587726</v>
      </c>
      <c r="H601" s="1" t="n">
        <v>16</v>
      </c>
      <c r="I601" s="2" t="s">
        <v>129</v>
      </c>
      <c r="J601" s="1" t="s">
        <v>130</v>
      </c>
      <c r="K601" s="1" t="n">
        <v>83</v>
      </c>
    </row>
    <row r="602" customFormat="false" ht="14.25" hidden="true" customHeight="false" outlineLevel="0" collapsed="false">
      <c r="A602" s="1" t="n">
        <v>10</v>
      </c>
      <c r="B602" s="1" t="s">
        <v>82</v>
      </c>
      <c r="C602" s="1" t="s">
        <v>296</v>
      </c>
      <c r="D602" s="23" t="s">
        <v>288</v>
      </c>
      <c r="E602" s="1" t="s">
        <v>289</v>
      </c>
      <c r="F602" s="1" t="s">
        <v>120</v>
      </c>
      <c r="G602" s="21" t="n">
        <f aca="false">K602/3.1416</f>
        <v>12.095747389865</v>
      </c>
      <c r="H602" s="1" t="n">
        <v>12</v>
      </c>
      <c r="I602" s="1" t="s">
        <v>129</v>
      </c>
      <c r="J602" s="1" t="s">
        <v>130</v>
      </c>
      <c r="K602" s="1" t="n">
        <v>38</v>
      </c>
    </row>
    <row r="603" customFormat="false" ht="14.25" hidden="true" customHeight="false" outlineLevel="0" collapsed="false">
      <c r="A603" s="1" t="n">
        <v>11</v>
      </c>
      <c r="B603" s="1" t="s">
        <v>82</v>
      </c>
      <c r="C603" s="1" t="s">
        <v>296</v>
      </c>
      <c r="D603" s="23"/>
      <c r="G603" s="21" t="n">
        <f aca="false">K603/3.1416</f>
        <v>4.7746371275783</v>
      </c>
      <c r="H603" s="1" t="n">
        <v>7</v>
      </c>
      <c r="I603" s="1" t="s">
        <v>129</v>
      </c>
      <c r="J603" s="1" t="s">
        <v>130</v>
      </c>
      <c r="K603" s="1" t="n">
        <v>15</v>
      </c>
    </row>
    <row r="604" customFormat="false" ht="14.25" hidden="true" customHeight="false" outlineLevel="0" collapsed="false">
      <c r="A604" s="1" t="n">
        <v>11</v>
      </c>
      <c r="B604" s="1" t="s">
        <v>82</v>
      </c>
      <c r="C604" s="1" t="s">
        <v>296</v>
      </c>
      <c r="D604" s="23"/>
      <c r="G604" s="21" t="n">
        <f aca="false">K604/3.1416</f>
        <v>5.41125541125541</v>
      </c>
      <c r="H604" s="1" t="n">
        <v>8</v>
      </c>
      <c r="I604" s="1" t="s">
        <v>129</v>
      </c>
      <c r="J604" s="1" t="s">
        <v>130</v>
      </c>
      <c r="K604" s="1" t="n">
        <v>17</v>
      </c>
    </row>
    <row r="605" customFormat="false" ht="14.25" hidden="true" customHeight="false" outlineLevel="0" collapsed="false">
      <c r="A605" s="1" t="n">
        <v>12</v>
      </c>
      <c r="B605" s="1" t="s">
        <v>128</v>
      </c>
      <c r="C605" s="1" t="s">
        <v>296</v>
      </c>
      <c r="D605" s="23" t="s">
        <v>288</v>
      </c>
      <c r="E605" s="1" t="s">
        <v>289</v>
      </c>
      <c r="F605" s="1" t="s">
        <v>120</v>
      </c>
      <c r="G605" s="21" t="n">
        <f aca="false">K605/3.1416</f>
        <v>11.4591291061879</v>
      </c>
      <c r="H605" s="1" t="n">
        <v>7</v>
      </c>
      <c r="I605" s="1" t="s">
        <v>129</v>
      </c>
      <c r="J605" s="1" t="s">
        <v>130</v>
      </c>
      <c r="K605" s="1" t="n">
        <v>36</v>
      </c>
    </row>
    <row r="606" customFormat="false" ht="14.25" hidden="true" customHeight="false" outlineLevel="0" collapsed="false">
      <c r="A606" s="1" t="n">
        <v>14</v>
      </c>
      <c r="B606" s="1" t="s">
        <v>131</v>
      </c>
      <c r="C606" s="1" t="s">
        <v>296</v>
      </c>
      <c r="D606" s="23" t="s">
        <v>288</v>
      </c>
      <c r="E606" s="1" t="s">
        <v>289</v>
      </c>
      <c r="F606" s="1" t="s">
        <v>120</v>
      </c>
      <c r="G606" s="21" t="n">
        <f aca="false">K606/3.1416</f>
        <v>3.18309141838554</v>
      </c>
      <c r="H606" s="1" t="n">
        <v>4.5</v>
      </c>
      <c r="I606" s="1" t="s">
        <v>129</v>
      </c>
      <c r="J606" s="1" t="s">
        <v>130</v>
      </c>
      <c r="K606" s="1" t="n">
        <v>10</v>
      </c>
    </row>
    <row r="607" customFormat="false" ht="14.25" hidden="true" customHeight="false" outlineLevel="0" collapsed="false">
      <c r="A607" s="1" t="n">
        <v>15</v>
      </c>
      <c r="B607" s="1" t="s">
        <v>131</v>
      </c>
      <c r="C607" s="1" t="s">
        <v>296</v>
      </c>
      <c r="D607" s="23" t="s">
        <v>288</v>
      </c>
      <c r="E607" s="1" t="s">
        <v>289</v>
      </c>
      <c r="F607" s="1" t="s">
        <v>120</v>
      </c>
      <c r="G607" s="21" t="n">
        <f aca="false">K607/3.1416</f>
        <v>17.825311942959</v>
      </c>
      <c r="H607" s="1" t="n">
        <v>20</v>
      </c>
      <c r="I607" s="1" t="s">
        <v>129</v>
      </c>
      <c r="J607" s="1" t="s">
        <v>130</v>
      </c>
      <c r="K607" s="1" t="n">
        <v>56</v>
      </c>
    </row>
    <row r="608" customFormat="false" ht="14.25" hidden="true" customHeight="false" outlineLevel="0" collapsed="false">
      <c r="A608" s="1" t="n">
        <v>15</v>
      </c>
      <c r="B608" s="1" t="s">
        <v>131</v>
      </c>
      <c r="C608" s="1" t="s">
        <v>296</v>
      </c>
      <c r="D608" s="23" t="s">
        <v>288</v>
      </c>
      <c r="E608" s="1" t="s">
        <v>289</v>
      </c>
      <c r="F608" s="1" t="s">
        <v>120</v>
      </c>
      <c r="G608" s="21" t="n">
        <f aca="false">K608/3.1416</f>
        <v>21.3267125031831</v>
      </c>
      <c r="H608" s="1" t="n">
        <v>15</v>
      </c>
      <c r="I608" s="1" t="s">
        <v>129</v>
      </c>
      <c r="J608" s="1" t="s">
        <v>130</v>
      </c>
      <c r="K608" s="1" t="n">
        <v>67</v>
      </c>
    </row>
    <row r="609" customFormat="false" ht="14.25" hidden="true" customHeight="false" outlineLevel="0" collapsed="false">
      <c r="A609" s="1" t="n">
        <v>17</v>
      </c>
      <c r="B609" s="1" t="s">
        <v>128</v>
      </c>
      <c r="C609" s="1" t="s">
        <v>296</v>
      </c>
      <c r="D609" s="23"/>
      <c r="E609" s="1" t="s">
        <v>145</v>
      </c>
      <c r="F609" s="1" t="s">
        <v>120</v>
      </c>
      <c r="G609" s="21" t="n">
        <f aca="false">K609/3.1416</f>
        <v>7.00280112044818</v>
      </c>
      <c r="H609" s="1" t="n">
        <v>7</v>
      </c>
      <c r="I609" s="1" t="s">
        <v>127</v>
      </c>
      <c r="J609" s="1" t="s">
        <v>130</v>
      </c>
      <c r="K609" s="1" t="n">
        <v>22</v>
      </c>
    </row>
    <row r="610" customFormat="false" ht="14.25" hidden="true" customHeight="false" outlineLevel="0" collapsed="false">
      <c r="A610" s="1" t="n">
        <v>19</v>
      </c>
      <c r="B610" s="1" t="s">
        <v>128</v>
      </c>
      <c r="C610" s="1" t="s">
        <v>296</v>
      </c>
      <c r="D610" s="23"/>
      <c r="G610" s="21" t="n">
        <f aca="false">K610/3.1416</f>
        <v>7.00280112044818</v>
      </c>
      <c r="H610" s="1" t="n">
        <v>7</v>
      </c>
      <c r="I610" s="1" t="s">
        <v>129</v>
      </c>
      <c r="J610" s="1" t="s">
        <v>130</v>
      </c>
      <c r="K610" s="1" t="n">
        <v>22</v>
      </c>
    </row>
    <row r="611" customFormat="false" ht="14.25" hidden="true" customHeight="false" outlineLevel="0" collapsed="false">
      <c r="A611" s="1" t="n">
        <v>25</v>
      </c>
      <c r="B611" s="1" t="s">
        <v>135</v>
      </c>
      <c r="C611" s="1" t="s">
        <v>296</v>
      </c>
      <c r="D611" s="23" t="s">
        <v>288</v>
      </c>
      <c r="E611" s="1" t="s">
        <v>289</v>
      </c>
      <c r="F611" s="1" t="s">
        <v>120</v>
      </c>
      <c r="G611" s="21" t="n">
        <f aca="false">K611/3.1416</f>
        <v>3.18309141838554</v>
      </c>
      <c r="H611" s="1" t="n">
        <v>3</v>
      </c>
      <c r="I611" s="1" t="s">
        <v>129</v>
      </c>
      <c r="J611" s="1" t="s">
        <v>130</v>
      </c>
      <c r="K611" s="1" t="n">
        <v>10</v>
      </c>
    </row>
    <row r="612" customFormat="false" ht="14.25" hidden="true" customHeight="false" outlineLevel="0" collapsed="false">
      <c r="A612" s="1" t="n">
        <v>25</v>
      </c>
      <c r="B612" s="1" t="s">
        <v>135</v>
      </c>
      <c r="C612" s="1" t="s">
        <v>296</v>
      </c>
      <c r="D612" s="23" t="s">
        <v>300</v>
      </c>
      <c r="E612" s="1" t="s">
        <v>210</v>
      </c>
      <c r="F612" s="1" t="s">
        <v>120</v>
      </c>
      <c r="G612" s="21" t="n">
        <f aca="false">K612/3.1416</f>
        <v>3.18309141838554</v>
      </c>
      <c r="H612" s="1" t="n">
        <v>6</v>
      </c>
      <c r="I612" s="1" t="s">
        <v>129</v>
      </c>
      <c r="J612" s="1" t="s">
        <v>130</v>
      </c>
      <c r="K612" s="1" t="n">
        <v>10</v>
      </c>
    </row>
    <row r="613" customFormat="false" ht="14.25" hidden="true" customHeight="false" outlineLevel="0" collapsed="false">
      <c r="A613" s="1" t="n">
        <v>26</v>
      </c>
      <c r="B613" s="1" t="s">
        <v>135</v>
      </c>
      <c r="C613" s="1" t="s">
        <v>296</v>
      </c>
      <c r="D613" s="23" t="s">
        <v>288</v>
      </c>
      <c r="E613" s="1" t="s">
        <v>289</v>
      </c>
      <c r="F613" s="1" t="s">
        <v>120</v>
      </c>
      <c r="G613" s="21" t="n">
        <f aca="false">K613/3.1416</f>
        <v>10.1858925388337</v>
      </c>
      <c r="H613" s="1" t="n">
        <v>15</v>
      </c>
      <c r="I613" s="1" t="s">
        <v>129</v>
      </c>
      <c r="J613" s="1" t="s">
        <v>130</v>
      </c>
      <c r="K613" s="1" t="n">
        <v>32</v>
      </c>
    </row>
    <row r="614" customFormat="false" ht="14.25" hidden="true" customHeight="false" outlineLevel="0" collapsed="false">
      <c r="A614" s="1" t="n">
        <v>27</v>
      </c>
      <c r="B614" s="1" t="s">
        <v>82</v>
      </c>
      <c r="C614" s="1" t="s">
        <v>296</v>
      </c>
      <c r="D614" s="23" t="s">
        <v>288</v>
      </c>
      <c r="E614" s="1" t="s">
        <v>289</v>
      </c>
      <c r="F614" s="1" t="s">
        <v>120</v>
      </c>
      <c r="G614" s="21" t="n">
        <f aca="false">K614/3.1416</f>
        <v>11.7774382480265</v>
      </c>
      <c r="H614" s="1" t="n">
        <v>15</v>
      </c>
      <c r="I614" s="1" t="s">
        <v>129</v>
      </c>
      <c r="J614" s="1" t="s">
        <v>130</v>
      </c>
      <c r="K614" s="1" t="n">
        <v>37</v>
      </c>
    </row>
    <row r="615" customFormat="false" ht="14.25" hidden="true" customHeight="false" outlineLevel="0" collapsed="false">
      <c r="A615" s="1" t="n">
        <v>27</v>
      </c>
      <c r="B615" s="1" t="s">
        <v>82</v>
      </c>
      <c r="C615" s="1" t="s">
        <v>296</v>
      </c>
      <c r="D615" s="23" t="s">
        <v>288</v>
      </c>
      <c r="E615" s="1" t="s">
        <v>289</v>
      </c>
      <c r="F615" s="1" t="s">
        <v>120</v>
      </c>
      <c r="G615" s="21" t="n">
        <f aca="false">K615/3.1416</f>
        <v>5.09294626941686</v>
      </c>
      <c r="H615" s="1" t="n">
        <v>10</v>
      </c>
      <c r="I615" s="1" t="s">
        <v>129</v>
      </c>
      <c r="J615" s="1" t="s">
        <v>130</v>
      </c>
      <c r="K615" s="1" t="n">
        <v>16</v>
      </c>
    </row>
    <row r="616" customFormat="false" ht="14.25" hidden="true" customHeight="false" outlineLevel="0" collapsed="false">
      <c r="A616" s="1" t="n">
        <v>28</v>
      </c>
      <c r="B616" s="1" t="s">
        <v>82</v>
      </c>
      <c r="C616" s="1" t="s">
        <v>296</v>
      </c>
      <c r="D616" s="23"/>
      <c r="G616" s="21" t="n">
        <f aca="false">K616/3.1416</f>
        <v>2.86478227654698</v>
      </c>
      <c r="H616" s="1" t="n">
        <v>6</v>
      </c>
      <c r="I616" s="1" t="s">
        <v>129</v>
      </c>
      <c r="J616" s="1" t="s">
        <v>130</v>
      </c>
      <c r="K616" s="1" t="n">
        <v>9</v>
      </c>
    </row>
    <row r="617" customFormat="false" ht="14.25" hidden="true" customHeight="false" outlineLevel="0" collapsed="false">
      <c r="A617" s="1" t="n">
        <v>30</v>
      </c>
      <c r="B617" s="1" t="s">
        <v>131</v>
      </c>
      <c r="C617" s="1" t="s">
        <v>296</v>
      </c>
      <c r="D617" s="23"/>
      <c r="G617" s="21" t="n">
        <f aca="false">K617/3.1416</f>
        <v>3.18309141838554</v>
      </c>
      <c r="H617" s="1" t="n">
        <v>7</v>
      </c>
      <c r="I617" s="1" t="s">
        <v>127</v>
      </c>
      <c r="J617" s="1" t="s">
        <v>130</v>
      </c>
      <c r="K617" s="1" t="n">
        <v>10</v>
      </c>
    </row>
    <row r="618" customFormat="false" ht="14.25" hidden="true" customHeight="false" outlineLevel="0" collapsed="false">
      <c r="A618" s="1" t="n">
        <v>31</v>
      </c>
      <c r="B618" s="1" t="s">
        <v>131</v>
      </c>
      <c r="C618" s="1" t="s">
        <v>296</v>
      </c>
      <c r="D618" s="23"/>
      <c r="G618" s="21" t="n">
        <f aca="false">K618/3.1416</f>
        <v>5.72956455309397</v>
      </c>
      <c r="H618" s="1" t="n">
        <v>7</v>
      </c>
      <c r="I618" s="1" t="s">
        <v>129</v>
      </c>
      <c r="J618" s="1" t="s">
        <v>130</v>
      </c>
      <c r="K618" s="1" t="n">
        <v>18</v>
      </c>
    </row>
    <row r="619" customFormat="false" ht="14.25" hidden="true" customHeight="false" outlineLevel="0" collapsed="false">
      <c r="A619" s="1" t="n">
        <v>31</v>
      </c>
      <c r="B619" s="1" t="s">
        <v>131</v>
      </c>
      <c r="C619" s="1" t="s">
        <v>296</v>
      </c>
      <c r="D619" s="23"/>
      <c r="G619" s="21" t="n">
        <f aca="false">K619/3.1416</f>
        <v>4.1380188439012</v>
      </c>
      <c r="H619" s="1" t="n">
        <v>7</v>
      </c>
      <c r="I619" s="1" t="s">
        <v>129</v>
      </c>
      <c r="J619" s="1" t="s">
        <v>130</v>
      </c>
      <c r="K619" s="1" t="n">
        <v>13</v>
      </c>
    </row>
    <row r="620" customFormat="false" ht="14.25" hidden="true" customHeight="false" outlineLevel="0" collapsed="false">
      <c r="A620" s="1" t="n">
        <v>31</v>
      </c>
      <c r="B620" s="1" t="s">
        <v>131</v>
      </c>
      <c r="C620" s="1" t="s">
        <v>296</v>
      </c>
      <c r="D620" s="23"/>
      <c r="G620" s="21" t="n">
        <f aca="false">K620/3.1416</f>
        <v>2.54647313470843</v>
      </c>
      <c r="H620" s="1" t="n">
        <v>5</v>
      </c>
      <c r="I620" s="1" t="s">
        <v>127</v>
      </c>
      <c r="J620" s="1" t="s">
        <v>130</v>
      </c>
      <c r="K620" s="1" t="n">
        <v>8</v>
      </c>
    </row>
    <row r="621" customFormat="false" ht="14.25" hidden="true" customHeight="false" outlineLevel="0" collapsed="false">
      <c r="A621" s="1" t="n">
        <v>31</v>
      </c>
      <c r="B621" s="1" t="s">
        <v>131</v>
      </c>
      <c r="C621" s="1" t="s">
        <v>296</v>
      </c>
      <c r="D621" s="23"/>
      <c r="G621" s="21" t="n">
        <f aca="false">K621/3.1416</f>
        <v>3.81970970206264</v>
      </c>
      <c r="H621" s="1" t="n">
        <v>7</v>
      </c>
      <c r="I621" s="1" t="s">
        <v>129</v>
      </c>
      <c r="J621" s="1" t="s">
        <v>130</v>
      </c>
      <c r="K621" s="1" t="n">
        <v>12</v>
      </c>
    </row>
    <row r="622" customFormat="false" ht="14.25" hidden="true" customHeight="false" outlineLevel="0" collapsed="false">
      <c r="A622" s="1" t="n">
        <v>19</v>
      </c>
      <c r="B622" s="1" t="s">
        <v>128</v>
      </c>
      <c r="C622" s="1" t="s">
        <v>301</v>
      </c>
      <c r="D622" s="23" t="s">
        <v>235</v>
      </c>
      <c r="E622" s="1" t="s">
        <v>156</v>
      </c>
      <c r="F622" s="1" t="s">
        <v>138</v>
      </c>
      <c r="G622" s="21" t="n">
        <f aca="false">K622/3.1416</f>
        <v>3.18309141838554</v>
      </c>
      <c r="H622" s="1" t="n">
        <v>5</v>
      </c>
      <c r="I622" s="1" t="s">
        <v>129</v>
      </c>
      <c r="J622" s="1" t="s">
        <v>302</v>
      </c>
      <c r="K622" s="1" t="n">
        <v>10</v>
      </c>
    </row>
    <row r="623" customFormat="false" ht="14.25" hidden="true" customHeight="false" outlineLevel="0" collapsed="false">
      <c r="A623" s="1" t="n">
        <v>27</v>
      </c>
      <c r="B623" s="1" t="s">
        <v>82</v>
      </c>
      <c r="C623" s="1" t="s">
        <v>301</v>
      </c>
      <c r="D623" s="23" t="s">
        <v>168</v>
      </c>
      <c r="E623" s="1" t="s">
        <v>169</v>
      </c>
      <c r="F623" s="1" t="s">
        <v>138</v>
      </c>
      <c r="G623" s="21" t="n">
        <f aca="false">K623/3.1416</f>
        <v>2.54647313470843</v>
      </c>
      <c r="H623" s="1" t="n">
        <v>2</v>
      </c>
      <c r="I623" s="1" t="s">
        <v>129</v>
      </c>
      <c r="J623" s="1" t="s">
        <v>302</v>
      </c>
      <c r="K623" s="1" t="n">
        <v>8</v>
      </c>
    </row>
    <row r="624" customFormat="false" ht="14.25" hidden="true" customHeight="false" outlineLevel="0" collapsed="false">
      <c r="A624" s="1" t="n">
        <v>10</v>
      </c>
      <c r="B624" s="1" t="s">
        <v>82</v>
      </c>
      <c r="C624" s="1" t="s">
        <v>97</v>
      </c>
      <c r="D624" s="23"/>
      <c r="G624" s="21" t="n">
        <f aca="false">K624/3.1416</f>
        <v>12.7323656735421</v>
      </c>
      <c r="H624" s="1" t="n">
        <v>1.5</v>
      </c>
      <c r="I624" s="2" t="s">
        <v>134</v>
      </c>
      <c r="J624" s="1" t="s">
        <v>303</v>
      </c>
      <c r="K624" s="1" t="n">
        <v>40</v>
      </c>
    </row>
    <row r="625" customFormat="false" ht="14.25" hidden="true" customHeight="false" outlineLevel="0" collapsed="false">
      <c r="A625" s="1" t="n">
        <v>11</v>
      </c>
      <c r="B625" s="1" t="s">
        <v>82</v>
      </c>
      <c r="C625" s="1" t="s">
        <v>97</v>
      </c>
      <c r="D625" s="23"/>
      <c r="G625" s="21" t="n">
        <f aca="false">K625/3.1416</f>
        <v>4.7746371275783</v>
      </c>
      <c r="H625" s="1" t="n">
        <v>5</v>
      </c>
      <c r="I625" s="1" t="s">
        <v>129</v>
      </c>
      <c r="J625" s="1" t="s">
        <v>303</v>
      </c>
      <c r="K625" s="1" t="n">
        <v>15</v>
      </c>
    </row>
    <row r="626" customFormat="false" ht="14.25" hidden="true" customHeight="false" outlineLevel="0" collapsed="false">
      <c r="A626" s="1" t="n">
        <v>23</v>
      </c>
      <c r="B626" s="1" t="s">
        <v>135</v>
      </c>
      <c r="C626" s="1" t="s">
        <v>97</v>
      </c>
      <c r="D626" s="23" t="s">
        <v>304</v>
      </c>
      <c r="E626" s="1" t="s">
        <v>157</v>
      </c>
      <c r="F626" s="1" t="s">
        <v>120</v>
      </c>
      <c r="G626" s="21" t="n">
        <f aca="false">K626/3.1416</f>
        <v>4.7746371275783</v>
      </c>
      <c r="H626" s="1" t="n">
        <v>5</v>
      </c>
      <c r="I626" s="1" t="s">
        <v>127</v>
      </c>
      <c r="J626" s="1" t="s">
        <v>130</v>
      </c>
      <c r="K626" s="1" t="n">
        <v>15</v>
      </c>
    </row>
    <row r="627" customFormat="false" ht="14.25" hidden="true" customHeight="false" outlineLevel="0" collapsed="false">
      <c r="A627" s="1" t="n">
        <v>27</v>
      </c>
      <c r="B627" s="1" t="s">
        <v>82</v>
      </c>
      <c r="C627" s="1" t="s">
        <v>97</v>
      </c>
      <c r="D627" s="23"/>
      <c r="G627" s="21" t="n">
        <f aca="false">K627/3.1416</f>
        <v>5.72956455309397</v>
      </c>
      <c r="H627" s="1" t="n">
        <v>7</v>
      </c>
      <c r="I627" s="1" t="s">
        <v>129</v>
      </c>
      <c r="J627" s="1" t="s">
        <v>130</v>
      </c>
      <c r="K627" s="1" t="n">
        <v>18</v>
      </c>
    </row>
    <row r="628" customFormat="false" ht="14.25" hidden="true" customHeight="false" outlineLevel="0" collapsed="false">
      <c r="A628" s="1" t="n">
        <v>27</v>
      </c>
      <c r="B628" s="1" t="s">
        <v>82</v>
      </c>
      <c r="C628" s="1" t="s">
        <v>97</v>
      </c>
      <c r="D628" s="23" t="s">
        <v>290</v>
      </c>
      <c r="E628" s="1" t="s">
        <v>157</v>
      </c>
      <c r="F628" s="1" t="s">
        <v>138</v>
      </c>
      <c r="G628" s="21" t="n">
        <f aca="false">K628/3.1416</f>
        <v>2.54647313470843</v>
      </c>
      <c r="H628" s="1" t="n">
        <v>4</v>
      </c>
      <c r="I628" s="1" t="s">
        <v>129</v>
      </c>
      <c r="J628" s="1" t="s">
        <v>130</v>
      </c>
      <c r="K628" s="1" t="n">
        <v>8</v>
      </c>
    </row>
    <row r="629" customFormat="false" ht="14.25" hidden="true" customHeight="false" outlineLevel="0" collapsed="false">
      <c r="A629" s="1" t="n">
        <v>28</v>
      </c>
      <c r="B629" s="1" t="s">
        <v>82</v>
      </c>
      <c r="C629" s="1" t="s">
        <v>97</v>
      </c>
      <c r="D629" s="23"/>
      <c r="E629" s="1" t="s">
        <v>156</v>
      </c>
      <c r="F629" s="1" t="s">
        <v>120</v>
      </c>
      <c r="G629" s="21" t="n">
        <f aca="false">K629/3.1416</f>
        <v>2.54647313470843</v>
      </c>
      <c r="H629" s="1" t="n">
        <v>4</v>
      </c>
      <c r="I629" s="1" t="s">
        <v>129</v>
      </c>
      <c r="J629" s="1" t="s">
        <v>130</v>
      </c>
      <c r="K629" s="1" t="n">
        <v>8</v>
      </c>
    </row>
    <row r="630" customFormat="false" ht="14.25" hidden="true" customHeight="false" outlineLevel="0" collapsed="false">
      <c r="A630" s="1" t="n">
        <v>28</v>
      </c>
      <c r="B630" s="1" t="s">
        <v>82</v>
      </c>
      <c r="C630" s="1" t="s">
        <v>97</v>
      </c>
      <c r="D630" s="23"/>
      <c r="G630" s="21" t="n">
        <f aca="false">K630/3.1416</f>
        <v>2.54647313470843</v>
      </c>
      <c r="H630" s="1" t="n">
        <v>3</v>
      </c>
      <c r="I630" s="1" t="s">
        <v>129</v>
      </c>
      <c r="J630" s="1" t="s">
        <v>130</v>
      </c>
      <c r="K630" s="1" t="n">
        <v>8</v>
      </c>
    </row>
    <row r="631" customFormat="false" ht="14.25" hidden="true" customHeight="false" outlineLevel="0" collapsed="false">
      <c r="A631" s="1" t="n">
        <v>1</v>
      </c>
      <c r="B631" s="1" t="s">
        <v>72</v>
      </c>
      <c r="C631" s="1" t="s">
        <v>97</v>
      </c>
      <c r="D631" s="23"/>
      <c r="E631" s="1" t="s">
        <v>186</v>
      </c>
      <c r="F631" s="1" t="s">
        <v>120</v>
      </c>
      <c r="G631" s="21" t="n">
        <f aca="false">ROUND(K631/PI(),0)</f>
        <v>3</v>
      </c>
      <c r="H631" s="1" t="n">
        <v>6</v>
      </c>
      <c r="I631" s="1" t="s">
        <v>127</v>
      </c>
      <c r="J631" s="1" t="s">
        <v>158</v>
      </c>
      <c r="K631" s="1" t="n">
        <v>9</v>
      </c>
    </row>
    <row r="632" customFormat="false" ht="14.25" hidden="true" customHeight="false" outlineLevel="0" collapsed="false">
      <c r="A632" s="1" t="n">
        <v>5</v>
      </c>
      <c r="B632" s="1" t="s">
        <v>92</v>
      </c>
      <c r="C632" s="1" t="s">
        <v>97</v>
      </c>
      <c r="D632" s="23"/>
      <c r="G632" s="21" t="n">
        <f aca="false">ROUND(K632/PI(),0)</f>
        <v>3</v>
      </c>
      <c r="H632" s="1" t="n">
        <v>4</v>
      </c>
      <c r="I632" s="1" t="s">
        <v>134</v>
      </c>
      <c r="J632" s="1" t="s">
        <v>152</v>
      </c>
      <c r="K632" s="1" t="n">
        <v>9</v>
      </c>
    </row>
    <row r="633" customFormat="false" ht="14.25" hidden="true" customHeight="false" outlineLevel="0" collapsed="false">
      <c r="A633" s="1" t="n">
        <v>6</v>
      </c>
      <c r="B633" s="1" t="s">
        <v>92</v>
      </c>
      <c r="C633" s="1" t="s">
        <v>97</v>
      </c>
      <c r="D633" s="23"/>
      <c r="G633" s="21" t="n">
        <f aca="false">ROUND(K633/PI(),0)</f>
        <v>32</v>
      </c>
      <c r="H633" s="1" t="n">
        <v>15</v>
      </c>
      <c r="I633" s="1" t="s">
        <v>129</v>
      </c>
      <c r="J633" s="1" t="s">
        <v>152</v>
      </c>
      <c r="K633" s="1" t="n">
        <v>99</v>
      </c>
    </row>
    <row r="634" customFormat="false" ht="14.25" hidden="true" customHeight="false" outlineLevel="0" collapsed="false">
      <c r="A634" s="1" t="n">
        <v>1</v>
      </c>
      <c r="B634" s="1" t="s">
        <v>72</v>
      </c>
      <c r="C634" s="1" t="s">
        <v>305</v>
      </c>
      <c r="D634" s="23"/>
      <c r="G634" s="21" t="n">
        <f aca="false">ROUND(K634/PI(),0)</f>
        <v>3</v>
      </c>
      <c r="H634" s="1" t="n">
        <v>6</v>
      </c>
      <c r="I634" s="1" t="s">
        <v>129</v>
      </c>
      <c r="J634" s="1" t="s">
        <v>158</v>
      </c>
      <c r="K634" s="1" t="n">
        <v>9</v>
      </c>
    </row>
    <row r="635" customFormat="false" ht="14.25" hidden="true" customHeight="false" outlineLevel="0" collapsed="false">
      <c r="A635" s="1" t="n">
        <v>1</v>
      </c>
      <c r="B635" s="1" t="s">
        <v>72</v>
      </c>
      <c r="C635" s="1" t="s">
        <v>306</v>
      </c>
      <c r="D635" s="23" t="s">
        <v>225</v>
      </c>
      <c r="E635" s="1" t="s">
        <v>186</v>
      </c>
      <c r="F635" s="1" t="s">
        <v>138</v>
      </c>
      <c r="G635" s="21" t="n">
        <f aca="false">ROUND(K635/PI(),0)</f>
        <v>5</v>
      </c>
      <c r="H635" s="1" t="n">
        <v>7</v>
      </c>
      <c r="I635" s="1" t="s">
        <v>129</v>
      </c>
      <c r="J635" s="1" t="s">
        <v>152</v>
      </c>
      <c r="K635" s="1" t="n">
        <v>17</v>
      </c>
    </row>
    <row r="636" customFormat="false" ht="14.25" hidden="true" customHeight="false" outlineLevel="0" collapsed="false">
      <c r="A636" s="1" t="n">
        <v>13</v>
      </c>
      <c r="B636" s="1" t="s">
        <v>128</v>
      </c>
      <c r="C636" s="1" t="s">
        <v>307</v>
      </c>
      <c r="D636" s="23"/>
      <c r="G636" s="21" t="n">
        <f aca="false">2*K636/3.1416</f>
        <v>5.09294626941686</v>
      </c>
      <c r="H636" s="1" t="n">
        <v>2.5</v>
      </c>
      <c r="I636" s="1" t="s">
        <v>129</v>
      </c>
      <c r="J636" s="1" t="s">
        <v>303</v>
      </c>
      <c r="K636" s="1" t="n">
        <v>8</v>
      </c>
    </row>
    <row r="637" customFormat="false" ht="14.25" hidden="true" customHeight="false" outlineLevel="0" collapsed="false">
      <c r="A637" s="1" t="n">
        <v>1</v>
      </c>
      <c r="B637" s="1" t="s">
        <v>82</v>
      </c>
      <c r="C637" s="1" t="s">
        <v>308</v>
      </c>
      <c r="D637" s="23" t="s">
        <v>274</v>
      </c>
      <c r="E637" s="1" t="s">
        <v>275</v>
      </c>
      <c r="F637" s="2" t="s">
        <v>120</v>
      </c>
      <c r="G637" s="21" t="n">
        <f aca="false">K637/3.1416</f>
        <v>5.09294626941686</v>
      </c>
      <c r="H637" s="1" t="n">
        <v>0</v>
      </c>
      <c r="I637" s="2" t="s">
        <v>74</v>
      </c>
      <c r="J637" s="1" t="s">
        <v>130</v>
      </c>
      <c r="K637" s="1" t="n">
        <v>16</v>
      </c>
    </row>
    <row r="638" customFormat="false" ht="14.25" hidden="true" customHeight="false" outlineLevel="0" collapsed="false">
      <c r="A638" s="1" t="n">
        <v>6</v>
      </c>
      <c r="B638" s="1" t="s">
        <v>122</v>
      </c>
      <c r="C638" s="1" t="s">
        <v>308</v>
      </c>
      <c r="D638" s="23" t="s">
        <v>309</v>
      </c>
      <c r="E638" s="1" t="s">
        <v>275</v>
      </c>
      <c r="F638" s="2" t="s">
        <v>187</v>
      </c>
      <c r="G638" s="21" t="n">
        <f aca="false">K638/3.1416</f>
        <v>4.1380188439012</v>
      </c>
      <c r="H638" s="1" t="n">
        <v>7</v>
      </c>
      <c r="I638" s="2" t="s">
        <v>74</v>
      </c>
      <c r="J638" s="1" t="s">
        <v>130</v>
      </c>
      <c r="K638" s="1" t="n">
        <v>13</v>
      </c>
    </row>
    <row r="639" customFormat="false" ht="14.25" hidden="true" customHeight="false" outlineLevel="0" collapsed="false">
      <c r="A639" s="1" t="n">
        <v>11</v>
      </c>
      <c r="B639" s="1" t="s">
        <v>82</v>
      </c>
      <c r="C639" s="1" t="s">
        <v>308</v>
      </c>
      <c r="D639" s="23" t="s">
        <v>310</v>
      </c>
      <c r="E639" s="1" t="s">
        <v>275</v>
      </c>
      <c r="F639" s="2" t="s">
        <v>138</v>
      </c>
      <c r="G639" s="21" t="n">
        <f aca="false">K639/3.1416</f>
        <v>7.95772854596384</v>
      </c>
      <c r="H639" s="1" t="n">
        <v>7</v>
      </c>
      <c r="I639" s="1" t="s">
        <v>134</v>
      </c>
      <c r="J639" s="1" t="s">
        <v>130</v>
      </c>
      <c r="K639" s="1" t="n">
        <v>25</v>
      </c>
    </row>
    <row r="640" customFormat="false" ht="14.25" hidden="true" customHeight="false" outlineLevel="0" collapsed="false">
      <c r="A640" s="1" t="n">
        <v>11</v>
      </c>
      <c r="B640" s="1" t="s">
        <v>82</v>
      </c>
      <c r="C640" s="1" t="s">
        <v>308</v>
      </c>
      <c r="D640" s="23" t="s">
        <v>274</v>
      </c>
      <c r="E640" s="1" t="s">
        <v>275</v>
      </c>
      <c r="F640" s="1" t="s">
        <v>120</v>
      </c>
      <c r="G640" s="21" t="n">
        <f aca="false">K640/3.1416</f>
        <v>4.1380188439012</v>
      </c>
      <c r="H640" s="1" t="n">
        <v>6</v>
      </c>
      <c r="I640" s="1" t="s">
        <v>129</v>
      </c>
      <c r="J640" s="1" t="s">
        <v>130</v>
      </c>
      <c r="K640" s="1" t="n">
        <v>13</v>
      </c>
    </row>
    <row r="641" customFormat="false" ht="14.25" hidden="true" customHeight="false" outlineLevel="0" collapsed="false">
      <c r="A641" s="1" t="n">
        <v>11</v>
      </c>
      <c r="B641" s="1" t="s">
        <v>82</v>
      </c>
      <c r="C641" s="1" t="s">
        <v>308</v>
      </c>
      <c r="D641" s="23"/>
      <c r="G641" s="21" t="n">
        <f aca="false">K641/3.1416</f>
        <v>8.9126559714795</v>
      </c>
      <c r="H641" s="1" t="n">
        <v>7</v>
      </c>
      <c r="I641" s="1" t="s">
        <v>134</v>
      </c>
      <c r="J641" s="1" t="s">
        <v>130</v>
      </c>
      <c r="K641" s="1" t="n">
        <v>28</v>
      </c>
    </row>
    <row r="642" customFormat="false" ht="14.25" hidden="true" customHeight="false" outlineLevel="0" collapsed="false">
      <c r="A642" s="1" t="n">
        <v>12</v>
      </c>
      <c r="B642" s="1" t="s">
        <v>128</v>
      </c>
      <c r="C642" s="1" t="s">
        <v>308</v>
      </c>
      <c r="D642" s="23" t="s">
        <v>311</v>
      </c>
      <c r="E642" s="1" t="s">
        <v>275</v>
      </c>
      <c r="F642" s="1" t="s">
        <v>120</v>
      </c>
      <c r="G642" s="21" t="n">
        <f aca="false">K642/3.1416</f>
        <v>2.54647313470843</v>
      </c>
      <c r="H642" s="1" t="n">
        <v>4</v>
      </c>
      <c r="I642" s="1" t="s">
        <v>127</v>
      </c>
      <c r="J642" s="1" t="s">
        <v>130</v>
      </c>
      <c r="K642" s="1" t="n">
        <v>8</v>
      </c>
    </row>
    <row r="643" customFormat="false" ht="14.25" hidden="true" customHeight="false" outlineLevel="0" collapsed="false">
      <c r="A643" s="1" t="n">
        <v>14</v>
      </c>
      <c r="B643" s="1" t="s">
        <v>131</v>
      </c>
      <c r="C643" s="1" t="s">
        <v>308</v>
      </c>
      <c r="D643" s="23"/>
      <c r="E643" s="1" t="s">
        <v>275</v>
      </c>
      <c r="F643" s="1" t="s">
        <v>120</v>
      </c>
      <c r="G643" s="21" t="n">
        <f aca="false">K643/3.1416</f>
        <v>3.18309141838554</v>
      </c>
      <c r="H643" s="1" t="n">
        <v>6</v>
      </c>
      <c r="I643" s="1" t="s">
        <v>129</v>
      </c>
      <c r="J643" s="1" t="s">
        <v>130</v>
      </c>
      <c r="K643" s="1" t="n">
        <v>10</v>
      </c>
    </row>
    <row r="644" customFormat="false" ht="14.25" hidden="true" customHeight="false" outlineLevel="0" collapsed="false">
      <c r="A644" s="1" t="n">
        <v>14</v>
      </c>
      <c r="B644" s="1" t="s">
        <v>131</v>
      </c>
      <c r="C644" s="1" t="s">
        <v>308</v>
      </c>
      <c r="D644" s="23" t="s">
        <v>279</v>
      </c>
      <c r="E644" s="1" t="s">
        <v>156</v>
      </c>
      <c r="F644" s="1" t="s">
        <v>120</v>
      </c>
      <c r="G644" s="21" t="n">
        <f aca="false">K644/3.1416</f>
        <v>2.54647313470843</v>
      </c>
      <c r="H644" s="1" t="n">
        <v>2</v>
      </c>
      <c r="I644" s="1" t="s">
        <v>129</v>
      </c>
      <c r="J644" s="1" t="s">
        <v>130</v>
      </c>
      <c r="K644" s="1" t="n">
        <v>8</v>
      </c>
    </row>
    <row r="645" customFormat="false" ht="14.25" hidden="true" customHeight="false" outlineLevel="0" collapsed="false">
      <c r="A645" s="1" t="n">
        <v>16</v>
      </c>
      <c r="B645" s="1" t="s">
        <v>131</v>
      </c>
      <c r="C645" s="1" t="s">
        <v>308</v>
      </c>
      <c r="D645" s="23"/>
      <c r="E645" s="1" t="s">
        <v>156</v>
      </c>
      <c r="F645" s="1" t="s">
        <v>120</v>
      </c>
      <c r="G645" s="21" t="n">
        <f aca="false">K645/3.1416</f>
        <v>2.54647313470843</v>
      </c>
      <c r="H645" s="1" t="n">
        <v>2.5</v>
      </c>
      <c r="I645" s="1" t="s">
        <v>129</v>
      </c>
      <c r="J645" s="1" t="s">
        <v>130</v>
      </c>
      <c r="K645" s="1" t="n">
        <v>8</v>
      </c>
    </row>
    <row r="646" customFormat="false" ht="14.25" hidden="true" customHeight="false" outlineLevel="0" collapsed="false">
      <c r="A646" s="1" t="n">
        <v>19</v>
      </c>
      <c r="B646" s="1" t="s">
        <v>128</v>
      </c>
      <c r="C646" s="1" t="s">
        <v>308</v>
      </c>
      <c r="D646" s="23"/>
      <c r="E646" s="1" t="s">
        <v>156</v>
      </c>
      <c r="F646" s="1" t="s">
        <v>120</v>
      </c>
      <c r="G646" s="21" t="n">
        <f aca="false">K646/3.1416</f>
        <v>2.86478227654698</v>
      </c>
      <c r="H646" s="1" t="n">
        <v>4</v>
      </c>
      <c r="I646" s="1" t="s">
        <v>134</v>
      </c>
      <c r="J646" s="1" t="s">
        <v>130</v>
      </c>
      <c r="K646" s="1" t="n">
        <v>9</v>
      </c>
    </row>
    <row r="647" customFormat="false" ht="14.25" hidden="true" customHeight="false" outlineLevel="0" collapsed="false">
      <c r="A647" s="1" t="n">
        <v>19</v>
      </c>
      <c r="B647" s="1" t="s">
        <v>128</v>
      </c>
      <c r="C647" s="1" t="s">
        <v>308</v>
      </c>
      <c r="D647" s="23" t="s">
        <v>311</v>
      </c>
      <c r="E647" s="1" t="s">
        <v>275</v>
      </c>
      <c r="F647" s="1" t="s">
        <v>120</v>
      </c>
      <c r="G647" s="21" t="n">
        <f aca="false">K647/3.1416</f>
        <v>20.0534759358289</v>
      </c>
      <c r="H647" s="1" t="n">
        <v>12</v>
      </c>
      <c r="I647" s="1" t="s">
        <v>129</v>
      </c>
      <c r="J647" s="1" t="s">
        <v>130</v>
      </c>
      <c r="K647" s="1" t="n">
        <v>63</v>
      </c>
    </row>
    <row r="648" customFormat="false" ht="14.25" hidden="true" customHeight="false" outlineLevel="0" collapsed="false">
      <c r="A648" s="1" t="n">
        <v>19</v>
      </c>
      <c r="B648" s="1" t="s">
        <v>128</v>
      </c>
      <c r="C648" s="1" t="s">
        <v>308</v>
      </c>
      <c r="D648" s="23"/>
      <c r="G648" s="21" t="n">
        <f aca="false">K648/3.1416</f>
        <v>9.54927425515661</v>
      </c>
      <c r="H648" s="1" t="n">
        <v>8</v>
      </c>
      <c r="I648" s="1" t="s">
        <v>129</v>
      </c>
      <c r="J648" s="1" t="s">
        <v>130</v>
      </c>
      <c r="K648" s="1" t="n">
        <v>30</v>
      </c>
    </row>
    <row r="649" customFormat="false" ht="14.25" hidden="true" customHeight="false" outlineLevel="0" collapsed="false">
      <c r="A649" s="1" t="n">
        <v>21</v>
      </c>
      <c r="B649" s="1" t="s">
        <v>135</v>
      </c>
      <c r="C649" s="1" t="s">
        <v>308</v>
      </c>
      <c r="D649" s="23" t="s">
        <v>274</v>
      </c>
      <c r="E649" s="1" t="s">
        <v>275</v>
      </c>
      <c r="F649" s="1" t="s">
        <v>120</v>
      </c>
      <c r="G649" s="21" t="n">
        <f aca="false">K649/3.1416</f>
        <v>21.9633307868602</v>
      </c>
      <c r="H649" s="1" t="n">
        <v>20</v>
      </c>
      <c r="I649" s="1" t="s">
        <v>129</v>
      </c>
      <c r="J649" s="1" t="s">
        <v>130</v>
      </c>
      <c r="K649" s="1" t="n">
        <v>69</v>
      </c>
    </row>
    <row r="650" customFormat="false" ht="14.25" hidden="true" customHeight="false" outlineLevel="0" collapsed="false">
      <c r="A650" s="1" t="n">
        <v>21</v>
      </c>
      <c r="B650" s="1" t="s">
        <v>135</v>
      </c>
      <c r="C650" s="1" t="s">
        <v>308</v>
      </c>
      <c r="D650" s="23" t="s">
        <v>274</v>
      </c>
      <c r="E650" s="1" t="s">
        <v>275</v>
      </c>
      <c r="G650" s="21" t="n">
        <f aca="false">K650/3.1416</f>
        <v>18.4619302266361</v>
      </c>
      <c r="H650" s="1" t="n">
        <v>12</v>
      </c>
      <c r="I650" s="1" t="s">
        <v>129</v>
      </c>
      <c r="J650" s="1" t="s">
        <v>130</v>
      </c>
      <c r="K650" s="1" t="n">
        <v>58</v>
      </c>
    </row>
    <row r="651" customFormat="false" ht="14.25" hidden="true" customHeight="false" outlineLevel="0" collapsed="false">
      <c r="A651" s="1" t="n">
        <v>28</v>
      </c>
      <c r="B651" s="1" t="s">
        <v>82</v>
      </c>
      <c r="C651" s="1" t="s">
        <v>308</v>
      </c>
      <c r="D651" s="23" t="s">
        <v>312</v>
      </c>
      <c r="E651" s="1" t="s">
        <v>313</v>
      </c>
      <c r="F651" s="1" t="s">
        <v>120</v>
      </c>
      <c r="G651" s="21" t="n">
        <f aca="false">K651/3.1416</f>
        <v>2.54647313470843</v>
      </c>
      <c r="H651" s="1" t="n">
        <v>5</v>
      </c>
      <c r="I651" s="1" t="s">
        <v>134</v>
      </c>
      <c r="J651" s="1" t="s">
        <v>130</v>
      </c>
      <c r="K651" s="1" t="n">
        <v>8</v>
      </c>
    </row>
    <row r="652" customFormat="false" ht="14.25" hidden="true" customHeight="false" outlineLevel="0" collapsed="false">
      <c r="A652" s="1" t="n">
        <v>29</v>
      </c>
      <c r="B652" s="1" t="s">
        <v>131</v>
      </c>
      <c r="C652" s="1" t="s">
        <v>308</v>
      </c>
      <c r="D652" s="23"/>
      <c r="G652" s="21" t="n">
        <f aca="false">K652/3.1416</f>
        <v>3.81970970206264</v>
      </c>
      <c r="H652" s="1" t="n">
        <v>6</v>
      </c>
      <c r="I652" s="1" t="s">
        <v>129</v>
      </c>
      <c r="J652" s="1" t="s">
        <v>130</v>
      </c>
      <c r="K652" s="1" t="n">
        <v>12</v>
      </c>
    </row>
    <row r="653" customFormat="false" ht="14.25" hidden="true" customHeight="false" outlineLevel="0" collapsed="false">
      <c r="A653" s="1" t="n">
        <v>29</v>
      </c>
      <c r="B653" s="1" t="s">
        <v>131</v>
      </c>
      <c r="C653" s="1" t="s">
        <v>308</v>
      </c>
      <c r="D653" s="23" t="s">
        <v>194</v>
      </c>
      <c r="E653" s="1" t="s">
        <v>156</v>
      </c>
      <c r="F653" s="1" t="s">
        <v>120</v>
      </c>
      <c r="G653" s="21" t="n">
        <f aca="false">K653/3.1416</f>
        <v>2.54647313470843</v>
      </c>
      <c r="H653" s="1" t="n">
        <v>3</v>
      </c>
      <c r="I653" s="1" t="s">
        <v>129</v>
      </c>
      <c r="J653" s="1" t="s">
        <v>130</v>
      </c>
      <c r="K653" s="1" t="n">
        <v>8</v>
      </c>
    </row>
    <row r="654" customFormat="false" ht="14.25" hidden="true" customHeight="false" outlineLevel="0" collapsed="false">
      <c r="A654" s="1" t="n">
        <v>30</v>
      </c>
      <c r="B654" s="1" t="s">
        <v>131</v>
      </c>
      <c r="C654" s="1" t="s">
        <v>308</v>
      </c>
      <c r="D654" s="23"/>
      <c r="G654" s="21" t="n">
        <f aca="false">K654/3.1416</f>
        <v>0</v>
      </c>
      <c r="H654" s="1" t="n">
        <v>12</v>
      </c>
      <c r="I654" s="1" t="s">
        <v>129</v>
      </c>
      <c r="J654" s="1" t="s">
        <v>130</v>
      </c>
      <c r="K654" s="1" t="n">
        <v>0</v>
      </c>
    </row>
    <row r="655" customFormat="false" ht="14.25" hidden="true" customHeight="false" outlineLevel="0" collapsed="false">
      <c r="A655" s="1" t="n">
        <v>30</v>
      </c>
      <c r="B655" s="1" t="s">
        <v>131</v>
      </c>
      <c r="C655" s="1" t="s">
        <v>308</v>
      </c>
      <c r="D655" s="23" t="s">
        <v>274</v>
      </c>
      <c r="E655" s="1" t="s">
        <v>275</v>
      </c>
      <c r="F655" s="1" t="s">
        <v>120</v>
      </c>
      <c r="G655" s="21" t="n">
        <f aca="false">K655/3.1416</f>
        <v>2.54647313470843</v>
      </c>
      <c r="H655" s="1" t="n">
        <v>6</v>
      </c>
      <c r="I655" s="1" t="s">
        <v>129</v>
      </c>
      <c r="J655" s="1" t="s">
        <v>130</v>
      </c>
      <c r="K655" s="1" t="n">
        <v>8</v>
      </c>
    </row>
    <row r="656" customFormat="false" ht="14.25" hidden="true" customHeight="false" outlineLevel="0" collapsed="false">
      <c r="A656" s="1" t="n">
        <v>30</v>
      </c>
      <c r="B656" s="1" t="s">
        <v>131</v>
      </c>
      <c r="C656" s="1" t="s">
        <v>308</v>
      </c>
      <c r="D656" s="23" t="s">
        <v>274</v>
      </c>
      <c r="E656" s="1" t="s">
        <v>275</v>
      </c>
      <c r="F656" s="1" t="s">
        <v>120</v>
      </c>
      <c r="G656" s="21" t="n">
        <f aca="false">K656/3.1416</f>
        <v>3.50140056022409</v>
      </c>
      <c r="H656" s="1" t="n">
        <v>7</v>
      </c>
      <c r="I656" s="1" t="s">
        <v>129</v>
      </c>
      <c r="J656" s="1" t="s">
        <v>130</v>
      </c>
      <c r="K656" s="1" t="n">
        <v>11</v>
      </c>
    </row>
    <row r="657" customFormat="false" ht="14.25" hidden="true" customHeight="false" outlineLevel="0" collapsed="false">
      <c r="A657" s="1" t="n">
        <v>31</v>
      </c>
      <c r="B657" s="1" t="s">
        <v>131</v>
      </c>
      <c r="C657" s="1" t="s">
        <v>308</v>
      </c>
      <c r="D657" s="23"/>
      <c r="G657" s="21" t="n">
        <f aca="false">K657/3.1416</f>
        <v>8.9126559714795</v>
      </c>
      <c r="H657" s="1" t="n">
        <v>12</v>
      </c>
      <c r="I657" s="1" t="s">
        <v>134</v>
      </c>
      <c r="J657" s="1" t="s">
        <v>130</v>
      </c>
      <c r="K657" s="1" t="n">
        <v>28</v>
      </c>
    </row>
    <row r="658" customFormat="false" ht="14.25" hidden="true" customHeight="false" outlineLevel="0" collapsed="false">
      <c r="A658" s="1" t="n">
        <v>17</v>
      </c>
      <c r="B658" s="1" t="s">
        <v>128</v>
      </c>
      <c r="C658" s="1" t="s">
        <v>314</v>
      </c>
      <c r="D658" s="23" t="s">
        <v>315</v>
      </c>
      <c r="E658" s="1" t="s">
        <v>275</v>
      </c>
      <c r="F658" s="1" t="s">
        <v>138</v>
      </c>
      <c r="G658" s="21" t="n">
        <f aca="false">K658/3.1416</f>
        <v>2.86478227654698</v>
      </c>
      <c r="H658" s="1" t="n">
        <v>4</v>
      </c>
      <c r="I658" s="1" t="s">
        <v>129</v>
      </c>
      <c r="J658" s="1" t="s">
        <v>130</v>
      </c>
      <c r="K658" s="1" t="n">
        <v>9</v>
      </c>
    </row>
    <row r="659" customFormat="false" ht="14.25" hidden="true" customHeight="false" outlineLevel="0" collapsed="false">
      <c r="A659" s="1" t="n">
        <v>18</v>
      </c>
      <c r="B659" s="1" t="s">
        <v>128</v>
      </c>
      <c r="C659" s="1" t="s">
        <v>314</v>
      </c>
      <c r="D659" s="23"/>
      <c r="E659" s="1" t="s">
        <v>275</v>
      </c>
      <c r="F659" s="1" t="s">
        <v>120</v>
      </c>
      <c r="G659" s="21" t="n">
        <f aca="false">K659/3.1416</f>
        <v>5.41125541125541</v>
      </c>
      <c r="H659" s="1" t="n">
        <v>7</v>
      </c>
      <c r="I659" s="1" t="s">
        <v>127</v>
      </c>
      <c r="J659" s="1" t="s">
        <v>130</v>
      </c>
      <c r="K659" s="1" t="n">
        <v>17</v>
      </c>
    </row>
    <row r="660" customFormat="false" ht="14.25" hidden="true" customHeight="false" outlineLevel="0" collapsed="false">
      <c r="A660" s="1" t="n">
        <v>8</v>
      </c>
      <c r="B660" s="1" t="s">
        <v>101</v>
      </c>
      <c r="C660" s="1" t="s">
        <v>316</v>
      </c>
      <c r="D660" s="23" t="s">
        <v>274</v>
      </c>
      <c r="E660" s="1" t="s">
        <v>275</v>
      </c>
      <c r="F660" s="1" t="s">
        <v>120</v>
      </c>
      <c r="G660" s="21" t="n">
        <f aca="false">ROUND(K660/PI(),0)</f>
        <v>3</v>
      </c>
      <c r="H660" s="1" t="n">
        <v>5</v>
      </c>
      <c r="I660" s="1" t="s">
        <v>127</v>
      </c>
      <c r="J660" s="1" t="s">
        <v>317</v>
      </c>
      <c r="K660" s="1" t="n">
        <v>9</v>
      </c>
    </row>
    <row r="661" customFormat="false" ht="14.25" hidden="true" customHeight="false" outlineLevel="0" collapsed="false">
      <c r="A661" s="1" t="n">
        <v>8</v>
      </c>
      <c r="B661" s="1" t="s">
        <v>101</v>
      </c>
      <c r="C661" s="1" t="s">
        <v>316</v>
      </c>
      <c r="D661" s="23" t="s">
        <v>274</v>
      </c>
      <c r="E661" s="1" t="s">
        <v>275</v>
      </c>
      <c r="F661" s="1" t="s">
        <v>120</v>
      </c>
      <c r="G661" s="21" t="n">
        <f aca="false">ROUND(K661/PI(),0)</f>
        <v>8</v>
      </c>
      <c r="H661" s="1" t="n">
        <v>9</v>
      </c>
      <c r="I661" s="1" t="s">
        <v>129</v>
      </c>
      <c r="J661" s="1" t="s">
        <v>141</v>
      </c>
      <c r="K661" s="1" t="n">
        <v>24</v>
      </c>
    </row>
    <row r="662" customFormat="false" ht="14.25" hidden="true" customHeight="false" outlineLevel="0" collapsed="false">
      <c r="A662" s="1" t="n">
        <v>8</v>
      </c>
      <c r="B662" s="1" t="s">
        <v>122</v>
      </c>
      <c r="C662" s="1" t="s">
        <v>318</v>
      </c>
      <c r="D662" s="23" t="s">
        <v>205</v>
      </c>
      <c r="E662" s="1" t="s">
        <v>206</v>
      </c>
      <c r="F662" s="2" t="s">
        <v>138</v>
      </c>
      <c r="G662" s="21" t="n">
        <f aca="false">K662/3.1416</f>
        <v>11.4591291061879</v>
      </c>
      <c r="H662" s="1" t="n">
        <v>8</v>
      </c>
      <c r="I662" s="2" t="s">
        <v>129</v>
      </c>
      <c r="J662" s="1" t="s">
        <v>74</v>
      </c>
      <c r="K662" s="1" t="n">
        <v>36</v>
      </c>
    </row>
    <row r="663" customFormat="false" ht="14.25" hidden="true" customHeight="false" outlineLevel="0" collapsed="false">
      <c r="A663" s="1" t="n">
        <v>8</v>
      </c>
      <c r="B663" s="1" t="s">
        <v>122</v>
      </c>
      <c r="C663" s="1" t="s">
        <v>318</v>
      </c>
      <c r="D663" s="23" t="s">
        <v>205</v>
      </c>
      <c r="E663" s="1" t="s">
        <v>206</v>
      </c>
      <c r="F663" s="2" t="s">
        <v>138</v>
      </c>
      <c r="G663" s="21" t="n">
        <f aca="false">K663/3.1416</f>
        <v>8.59434682964095</v>
      </c>
      <c r="H663" s="1" t="n">
        <v>8</v>
      </c>
      <c r="I663" s="2" t="s">
        <v>129</v>
      </c>
      <c r="J663" s="1" t="s">
        <v>74</v>
      </c>
      <c r="K663" s="1" t="n">
        <v>27</v>
      </c>
    </row>
    <row r="664" customFormat="false" ht="14.25" hidden="true" customHeight="false" outlineLevel="0" collapsed="false">
      <c r="A664" s="1" t="n">
        <v>8</v>
      </c>
      <c r="B664" s="1" t="s">
        <v>122</v>
      </c>
      <c r="C664" s="1" t="s">
        <v>318</v>
      </c>
      <c r="D664" s="23" t="s">
        <v>205</v>
      </c>
      <c r="E664" s="1" t="s">
        <v>206</v>
      </c>
      <c r="F664" s="2" t="s">
        <v>138</v>
      </c>
      <c r="G664" s="21" t="n">
        <f aca="false">K664/3.1416</f>
        <v>14.3239113827349</v>
      </c>
      <c r="H664" s="1" t="n">
        <v>12</v>
      </c>
      <c r="I664" s="2" t="s">
        <v>129</v>
      </c>
      <c r="J664" s="1" t="s">
        <v>74</v>
      </c>
      <c r="K664" s="1" t="n">
        <v>45</v>
      </c>
    </row>
    <row r="665" customFormat="false" ht="14.25" hidden="false" customHeight="false" outlineLevel="0" collapsed="false">
      <c r="A665" s="1" t="n">
        <v>10</v>
      </c>
      <c r="B665" s="1" t="s">
        <v>82</v>
      </c>
      <c r="C665" s="1" t="s">
        <v>318</v>
      </c>
      <c r="D665" s="23" t="s">
        <v>205</v>
      </c>
      <c r="E665" s="1" t="s">
        <v>206</v>
      </c>
      <c r="F665" s="2" t="s">
        <v>138</v>
      </c>
      <c r="G665" s="21" t="n">
        <f aca="false">K665/3.1416</f>
        <v>6.68449197860963</v>
      </c>
      <c r="H665" s="1" t="n">
        <v>4</v>
      </c>
      <c r="I665" s="1" t="s">
        <v>129</v>
      </c>
      <c r="J665" s="1" t="s">
        <v>74</v>
      </c>
      <c r="K665" s="1" t="n">
        <v>21</v>
      </c>
    </row>
    <row r="666" customFormat="false" ht="14.25" hidden="true" customHeight="false" outlineLevel="0" collapsed="false">
      <c r="A666" s="1" t="n">
        <v>10</v>
      </c>
      <c r="B666" s="1" t="s">
        <v>82</v>
      </c>
      <c r="C666" s="1" t="s">
        <v>318</v>
      </c>
      <c r="D666" s="23" t="s">
        <v>205</v>
      </c>
      <c r="E666" s="1" t="s">
        <v>206</v>
      </c>
      <c r="F666" s="2" t="s">
        <v>138</v>
      </c>
      <c r="G666" s="21" t="n">
        <f aca="false">K666/3.1416</f>
        <v>7.32111026228673</v>
      </c>
      <c r="H666" s="1" t="n">
        <v>5</v>
      </c>
      <c r="I666" s="1" t="s">
        <v>129</v>
      </c>
      <c r="J666" s="1" t="s">
        <v>74</v>
      </c>
      <c r="K666" s="1" t="n">
        <v>23</v>
      </c>
    </row>
    <row r="667" customFormat="false" ht="14.25" hidden="false" customHeight="false" outlineLevel="0" collapsed="false">
      <c r="A667" s="1" t="n">
        <v>10</v>
      </c>
      <c r="B667" s="1" t="s">
        <v>82</v>
      </c>
      <c r="C667" s="1" t="s">
        <v>318</v>
      </c>
      <c r="D667" s="23" t="s">
        <v>205</v>
      </c>
      <c r="E667" s="1" t="s">
        <v>206</v>
      </c>
      <c r="F667" s="2" t="s">
        <v>138</v>
      </c>
      <c r="G667" s="21" t="n">
        <f aca="false">K667/3.1416</f>
        <v>6.04787369493252</v>
      </c>
      <c r="H667" s="1" t="n">
        <v>3</v>
      </c>
      <c r="I667" s="1" t="s">
        <v>129</v>
      </c>
      <c r="J667" s="1" t="s">
        <v>74</v>
      </c>
      <c r="K667" s="1" t="n">
        <v>19</v>
      </c>
    </row>
    <row r="668" customFormat="false" ht="14.25" hidden="true" customHeight="false" outlineLevel="0" collapsed="false">
      <c r="A668" s="1" t="n">
        <v>10</v>
      </c>
      <c r="B668" s="1" t="s">
        <v>82</v>
      </c>
      <c r="C668" s="1" t="s">
        <v>318</v>
      </c>
      <c r="D668" s="23" t="s">
        <v>205</v>
      </c>
      <c r="E668" s="1" t="s">
        <v>206</v>
      </c>
      <c r="F668" s="2" t="s">
        <v>138</v>
      </c>
      <c r="G668" s="21" t="n">
        <f aca="false">K668/3.1416</f>
        <v>10.8225108225108</v>
      </c>
      <c r="H668" s="1" t="n">
        <v>5</v>
      </c>
      <c r="I668" s="1" t="s">
        <v>129</v>
      </c>
      <c r="J668" s="1" t="s">
        <v>74</v>
      </c>
      <c r="K668" s="1" t="n">
        <v>34</v>
      </c>
    </row>
    <row r="669" customFormat="false" ht="14.25" hidden="true" customHeight="false" outlineLevel="0" collapsed="false">
      <c r="A669" s="1" t="n">
        <v>11</v>
      </c>
      <c r="B669" s="1" t="s">
        <v>82</v>
      </c>
      <c r="C669" s="1" t="s">
        <v>318</v>
      </c>
      <c r="D669" s="23" t="s">
        <v>205</v>
      </c>
      <c r="E669" s="1" t="s">
        <v>206</v>
      </c>
      <c r="F669" s="2" t="s">
        <v>138</v>
      </c>
      <c r="G669" s="21" t="n">
        <f aca="false">K669/3.1416</f>
        <v>10.1858925388337</v>
      </c>
      <c r="H669" s="1" t="n">
        <v>6</v>
      </c>
      <c r="I669" s="1" t="s">
        <v>129</v>
      </c>
      <c r="J669" s="1" t="s">
        <v>74</v>
      </c>
      <c r="K669" s="1" t="n">
        <v>32</v>
      </c>
    </row>
    <row r="670" customFormat="false" ht="14.25" hidden="true" customHeight="false" outlineLevel="0" collapsed="false">
      <c r="A670" s="1" t="n">
        <v>12</v>
      </c>
      <c r="B670" s="1" t="s">
        <v>128</v>
      </c>
      <c r="C670" s="1" t="s">
        <v>318</v>
      </c>
      <c r="D670" s="23" t="s">
        <v>205</v>
      </c>
      <c r="E670" s="1" t="s">
        <v>206</v>
      </c>
      <c r="F670" s="1" t="s">
        <v>138</v>
      </c>
      <c r="G670" s="21" t="n">
        <f aca="false">K670/3.1416</f>
        <v>10.8225108225108</v>
      </c>
      <c r="H670" s="1" t="n">
        <v>6</v>
      </c>
      <c r="I670" s="1" t="s">
        <v>129</v>
      </c>
      <c r="J670" s="1" t="s">
        <v>74</v>
      </c>
      <c r="K670" s="1" t="n">
        <v>34</v>
      </c>
    </row>
    <row r="671" customFormat="false" ht="14.25" hidden="true" customHeight="false" outlineLevel="0" collapsed="false">
      <c r="A671" s="1" t="n">
        <v>12</v>
      </c>
      <c r="B671" s="1" t="s">
        <v>128</v>
      </c>
      <c r="C671" s="1" t="s">
        <v>318</v>
      </c>
      <c r="D671" s="23" t="s">
        <v>205</v>
      </c>
      <c r="E671" s="1" t="s">
        <v>206</v>
      </c>
      <c r="F671" s="1" t="s">
        <v>138</v>
      </c>
      <c r="G671" s="21" t="n">
        <f aca="false">K671/3.1416</f>
        <v>7.00280112044818</v>
      </c>
      <c r="H671" s="1" t="n">
        <v>6</v>
      </c>
      <c r="I671" s="1" t="s">
        <v>129</v>
      </c>
      <c r="J671" s="1" t="s">
        <v>74</v>
      </c>
      <c r="K671" s="1" t="n">
        <v>22</v>
      </c>
    </row>
    <row r="672" customFormat="false" ht="14.25" hidden="true" customHeight="false" outlineLevel="0" collapsed="false">
      <c r="A672" s="1" t="n">
        <v>12</v>
      </c>
      <c r="B672" s="1" t="s">
        <v>128</v>
      </c>
      <c r="C672" s="1" t="s">
        <v>318</v>
      </c>
      <c r="D672" s="23" t="s">
        <v>205</v>
      </c>
      <c r="E672" s="1" t="s">
        <v>206</v>
      </c>
      <c r="F672" s="1" t="s">
        <v>138</v>
      </c>
      <c r="G672" s="21" t="n">
        <f aca="false">K672/3.1416</f>
        <v>12.7323656735421</v>
      </c>
      <c r="H672" s="1" t="n">
        <v>6</v>
      </c>
      <c r="I672" s="1" t="s">
        <v>129</v>
      </c>
      <c r="J672" s="1" t="s">
        <v>74</v>
      </c>
      <c r="K672" s="1" t="n">
        <v>40</v>
      </c>
    </row>
    <row r="673" customFormat="false" ht="14.25" hidden="true" customHeight="false" outlineLevel="0" collapsed="false">
      <c r="A673" s="1" t="n">
        <v>12</v>
      </c>
      <c r="B673" s="1" t="s">
        <v>128</v>
      </c>
      <c r="C673" s="1" t="s">
        <v>318</v>
      </c>
      <c r="D673" s="23" t="s">
        <v>205</v>
      </c>
      <c r="E673" s="1" t="s">
        <v>206</v>
      </c>
      <c r="F673" s="1" t="s">
        <v>138</v>
      </c>
      <c r="G673" s="21" t="n">
        <f aca="false">K673/3.1416</f>
        <v>6.36618283677107</v>
      </c>
      <c r="H673" s="1" t="n">
        <v>3</v>
      </c>
      <c r="I673" s="1" t="s">
        <v>129</v>
      </c>
      <c r="J673" s="1" t="s">
        <v>74</v>
      </c>
      <c r="K673" s="1" t="n">
        <v>20</v>
      </c>
    </row>
    <row r="674" customFormat="false" ht="14.25" hidden="true" customHeight="false" outlineLevel="0" collapsed="false">
      <c r="A674" s="1" t="n">
        <v>12</v>
      </c>
      <c r="B674" s="1" t="s">
        <v>128</v>
      </c>
      <c r="C674" s="1" t="s">
        <v>318</v>
      </c>
      <c r="D674" s="23" t="s">
        <v>205</v>
      </c>
      <c r="E674" s="1" t="s">
        <v>206</v>
      </c>
      <c r="F674" s="1" t="s">
        <v>138</v>
      </c>
      <c r="G674" s="21" t="n">
        <f aca="false">K674/3.1416</f>
        <v>14.3239113827349</v>
      </c>
      <c r="H674" s="1" t="n">
        <v>3</v>
      </c>
      <c r="I674" s="1" t="s">
        <v>129</v>
      </c>
      <c r="J674" s="1" t="s">
        <v>74</v>
      </c>
      <c r="K674" s="1" t="n">
        <v>45</v>
      </c>
    </row>
    <row r="675" customFormat="false" ht="14.25" hidden="true" customHeight="false" outlineLevel="0" collapsed="false">
      <c r="A675" s="1" t="n">
        <v>13</v>
      </c>
      <c r="B675" s="1" t="s">
        <v>128</v>
      </c>
      <c r="C675" s="1" t="s">
        <v>318</v>
      </c>
      <c r="D675" s="23" t="s">
        <v>205</v>
      </c>
      <c r="E675" s="1" t="s">
        <v>206</v>
      </c>
      <c r="F675" s="1" t="s">
        <v>138</v>
      </c>
      <c r="G675" s="21" t="n">
        <f aca="false">2*K675/3.1416</f>
        <v>24.1914947797301</v>
      </c>
      <c r="H675" s="1" t="n">
        <v>7</v>
      </c>
      <c r="I675" s="1" t="s">
        <v>129</v>
      </c>
      <c r="J675" s="1" t="s">
        <v>74</v>
      </c>
      <c r="K675" s="1" t="n">
        <v>38</v>
      </c>
    </row>
    <row r="676" customFormat="false" ht="14.25" hidden="true" customHeight="false" outlineLevel="0" collapsed="false">
      <c r="A676" s="1" t="n">
        <v>13</v>
      </c>
      <c r="B676" s="1" t="s">
        <v>128</v>
      </c>
      <c r="C676" s="1" t="s">
        <v>318</v>
      </c>
      <c r="D676" s="23" t="s">
        <v>205</v>
      </c>
      <c r="E676" s="1" t="s">
        <v>206</v>
      </c>
      <c r="F676" s="1" t="s">
        <v>138</v>
      </c>
      <c r="G676" s="21" t="n">
        <f aca="false">2*K676/3.1416</f>
        <v>20.3717850776674</v>
      </c>
      <c r="H676" s="1" t="n">
        <v>7</v>
      </c>
      <c r="I676" s="1" t="s">
        <v>129</v>
      </c>
      <c r="J676" s="1" t="s">
        <v>74</v>
      </c>
      <c r="K676" s="1" t="n">
        <v>32</v>
      </c>
    </row>
    <row r="677" customFormat="false" ht="14.25" hidden="true" customHeight="false" outlineLevel="0" collapsed="false">
      <c r="A677" s="1" t="n">
        <v>13</v>
      </c>
      <c r="B677" s="1" t="s">
        <v>128</v>
      </c>
      <c r="C677" s="1" t="s">
        <v>318</v>
      </c>
      <c r="D677" s="23" t="s">
        <v>205</v>
      </c>
      <c r="E677" s="1" t="s">
        <v>206</v>
      </c>
      <c r="F677" s="1" t="s">
        <v>138</v>
      </c>
      <c r="G677" s="21" t="n">
        <f aca="false">2*K677/3.1416</f>
        <v>19.0985485103132</v>
      </c>
      <c r="H677" s="1" t="n">
        <v>6</v>
      </c>
      <c r="I677" s="1" t="s">
        <v>129</v>
      </c>
      <c r="J677" s="1" t="s">
        <v>74</v>
      </c>
      <c r="K677" s="1" t="n">
        <v>30</v>
      </c>
    </row>
    <row r="678" customFormat="false" ht="14.25" hidden="true" customHeight="false" outlineLevel="0" collapsed="false">
      <c r="A678" s="1" t="n">
        <v>13</v>
      </c>
      <c r="B678" s="1" t="s">
        <v>128</v>
      </c>
      <c r="C678" s="1" t="s">
        <v>318</v>
      </c>
      <c r="D678" s="23" t="s">
        <v>205</v>
      </c>
      <c r="E678" s="1" t="s">
        <v>206</v>
      </c>
      <c r="F678" s="1" t="s">
        <v>138</v>
      </c>
      <c r="G678" s="21" t="n">
        <f aca="false">2*K678/3.1416</f>
        <v>8.9126559714795</v>
      </c>
      <c r="H678" s="1" t="n">
        <v>4</v>
      </c>
      <c r="I678" s="1" t="s">
        <v>129</v>
      </c>
      <c r="J678" s="1" t="s">
        <v>74</v>
      </c>
      <c r="K678" s="1" t="n">
        <v>14</v>
      </c>
    </row>
    <row r="679" customFormat="false" ht="14.25" hidden="true" customHeight="false" outlineLevel="0" collapsed="false">
      <c r="A679" s="1" t="n">
        <v>13</v>
      </c>
      <c r="B679" s="1" t="s">
        <v>128</v>
      </c>
      <c r="C679" s="1" t="s">
        <v>318</v>
      </c>
      <c r="D679" s="23" t="s">
        <v>205</v>
      </c>
      <c r="E679" s="1" t="s">
        <v>206</v>
      </c>
      <c r="F679" s="1" t="s">
        <v>138</v>
      </c>
      <c r="G679" s="21" t="n">
        <f aca="false">2*K679/3.1416</f>
        <v>17.1886936592819</v>
      </c>
      <c r="H679" s="1" t="n">
        <v>6</v>
      </c>
      <c r="I679" s="1" t="s">
        <v>129</v>
      </c>
      <c r="J679" s="1" t="s">
        <v>74</v>
      </c>
      <c r="K679" s="1" t="n">
        <v>27</v>
      </c>
    </row>
    <row r="680" customFormat="false" ht="14.25" hidden="true" customHeight="false" outlineLevel="0" collapsed="false">
      <c r="A680" s="1" t="n">
        <v>13</v>
      </c>
      <c r="B680" s="1" t="s">
        <v>128</v>
      </c>
      <c r="C680" s="1" t="s">
        <v>318</v>
      </c>
      <c r="D680" s="23" t="s">
        <v>205</v>
      </c>
      <c r="E680" s="1" t="s">
        <v>206</v>
      </c>
      <c r="F680" s="1" t="s">
        <v>138</v>
      </c>
      <c r="G680" s="21" t="n">
        <f aca="false">2*K680/3.1416</f>
        <v>13.3689839572193</v>
      </c>
      <c r="H680" s="1" t="n">
        <v>4</v>
      </c>
      <c r="I680" s="1" t="s">
        <v>129</v>
      </c>
      <c r="J680" s="1" t="s">
        <v>74</v>
      </c>
      <c r="K680" s="1" t="n">
        <v>21</v>
      </c>
    </row>
    <row r="681" customFormat="false" ht="14.25" hidden="true" customHeight="false" outlineLevel="0" collapsed="false">
      <c r="A681" s="1" t="n">
        <v>13</v>
      </c>
      <c r="B681" s="1" t="s">
        <v>128</v>
      </c>
      <c r="C681" s="1" t="s">
        <v>318</v>
      </c>
      <c r="D681" s="23" t="s">
        <v>205</v>
      </c>
      <c r="E681" s="1" t="s">
        <v>206</v>
      </c>
      <c r="F681" s="1" t="s">
        <v>138</v>
      </c>
      <c r="G681" s="21" t="n">
        <f aca="false">2*K681/3.1416</f>
        <v>31.8309141838554</v>
      </c>
      <c r="H681" s="1" t="n">
        <v>4</v>
      </c>
      <c r="I681" s="1" t="s">
        <v>129</v>
      </c>
      <c r="J681" s="1" t="s">
        <v>74</v>
      </c>
      <c r="K681" s="1" t="n">
        <v>50</v>
      </c>
    </row>
    <row r="682" customFormat="false" ht="14.25" hidden="true" customHeight="false" outlineLevel="0" collapsed="false">
      <c r="A682" s="1" t="n">
        <v>13</v>
      </c>
      <c r="B682" s="1" t="s">
        <v>128</v>
      </c>
      <c r="C682" s="1" t="s">
        <v>318</v>
      </c>
      <c r="D682" s="23" t="s">
        <v>205</v>
      </c>
      <c r="E682" s="1" t="s">
        <v>206</v>
      </c>
      <c r="F682" s="1" t="s">
        <v>138</v>
      </c>
      <c r="G682" s="21" t="n">
        <f aca="false">2*K682/3.1416</f>
        <v>24.1914947797301</v>
      </c>
      <c r="H682" s="1" t="n">
        <v>6</v>
      </c>
      <c r="I682" s="1" t="s">
        <v>129</v>
      </c>
      <c r="J682" s="1" t="s">
        <v>74</v>
      </c>
      <c r="K682" s="1" t="n">
        <v>38</v>
      </c>
    </row>
    <row r="683" customFormat="false" ht="14.25" hidden="true" customHeight="false" outlineLevel="0" collapsed="false">
      <c r="A683" s="1" t="n">
        <v>14</v>
      </c>
      <c r="B683" s="1" t="s">
        <v>131</v>
      </c>
      <c r="C683" s="1" t="s">
        <v>318</v>
      </c>
      <c r="D683" s="23" t="s">
        <v>205</v>
      </c>
      <c r="E683" s="1" t="s">
        <v>206</v>
      </c>
      <c r="F683" s="1" t="s">
        <v>138</v>
      </c>
      <c r="G683" s="21" t="n">
        <f aca="false">K683/3.1416</f>
        <v>6.68449197860963</v>
      </c>
      <c r="H683" s="1" t="n">
        <v>4</v>
      </c>
      <c r="I683" s="1" t="s">
        <v>129</v>
      </c>
      <c r="J683" s="1" t="s">
        <v>74</v>
      </c>
      <c r="K683" s="1" t="n">
        <v>21</v>
      </c>
    </row>
    <row r="684" customFormat="false" ht="14.25" hidden="true" customHeight="false" outlineLevel="0" collapsed="false">
      <c r="A684" s="1" t="n">
        <v>14</v>
      </c>
      <c r="B684" s="1" t="s">
        <v>131</v>
      </c>
      <c r="C684" s="1" t="s">
        <v>318</v>
      </c>
      <c r="D684" s="23" t="s">
        <v>205</v>
      </c>
      <c r="E684" s="1" t="s">
        <v>206</v>
      </c>
      <c r="F684" s="1" t="s">
        <v>138</v>
      </c>
      <c r="G684" s="21" t="n">
        <f aca="false">K684/3.1416</f>
        <v>9.23096511331806</v>
      </c>
      <c r="H684" s="1" t="n">
        <v>4</v>
      </c>
      <c r="I684" s="1" t="s">
        <v>129</v>
      </c>
      <c r="J684" s="1" t="s">
        <v>74</v>
      </c>
      <c r="K684" s="1" t="n">
        <v>29</v>
      </c>
    </row>
    <row r="685" customFormat="false" ht="14.25" hidden="true" customHeight="false" outlineLevel="0" collapsed="false">
      <c r="A685" s="1" t="n">
        <v>15</v>
      </c>
      <c r="B685" s="1" t="s">
        <v>131</v>
      </c>
      <c r="C685" s="1" t="s">
        <v>318</v>
      </c>
      <c r="D685" s="23" t="s">
        <v>205</v>
      </c>
      <c r="E685" s="1" t="s">
        <v>206</v>
      </c>
      <c r="F685" s="1" t="s">
        <v>138</v>
      </c>
      <c r="G685" s="21" t="n">
        <f aca="false">K685/3.1416</f>
        <v>8.59434682964095</v>
      </c>
      <c r="H685" s="1" t="n">
        <v>5</v>
      </c>
      <c r="I685" s="1" t="s">
        <v>129</v>
      </c>
      <c r="J685" s="1" t="s">
        <v>74</v>
      </c>
      <c r="K685" s="1" t="n">
        <v>27</v>
      </c>
    </row>
    <row r="686" customFormat="false" ht="14.25" hidden="true" customHeight="false" outlineLevel="0" collapsed="false">
      <c r="A686" s="1" t="n">
        <v>15</v>
      </c>
      <c r="B686" s="1" t="s">
        <v>131</v>
      </c>
      <c r="C686" s="1" t="s">
        <v>318</v>
      </c>
      <c r="D686" s="23" t="s">
        <v>205</v>
      </c>
      <c r="E686" s="1" t="s">
        <v>206</v>
      </c>
      <c r="F686" s="1" t="s">
        <v>138</v>
      </c>
      <c r="G686" s="21" t="n">
        <f aca="false">K686/3.1416</f>
        <v>8.9126559714795</v>
      </c>
      <c r="H686" s="1" t="n">
        <v>5</v>
      </c>
      <c r="I686" s="1" t="s">
        <v>129</v>
      </c>
      <c r="J686" s="1" t="s">
        <v>74</v>
      </c>
      <c r="K686" s="1" t="n">
        <v>28</v>
      </c>
    </row>
    <row r="687" customFormat="false" ht="14.25" hidden="true" customHeight="false" outlineLevel="0" collapsed="false">
      <c r="A687" s="1" t="n">
        <v>15</v>
      </c>
      <c r="B687" s="1" t="s">
        <v>131</v>
      </c>
      <c r="C687" s="1" t="s">
        <v>318</v>
      </c>
      <c r="D687" s="23" t="s">
        <v>205</v>
      </c>
      <c r="E687" s="1" t="s">
        <v>206</v>
      </c>
      <c r="F687" s="1" t="s">
        <v>138</v>
      </c>
      <c r="G687" s="21" t="n">
        <f aca="false">K687/3.1416</f>
        <v>8.9126559714795</v>
      </c>
      <c r="H687" s="1" t="n">
        <v>5</v>
      </c>
      <c r="I687" s="1" t="s">
        <v>129</v>
      </c>
      <c r="J687" s="1" t="s">
        <v>74</v>
      </c>
      <c r="K687" s="1" t="n">
        <v>28</v>
      </c>
    </row>
    <row r="688" customFormat="false" ht="14.25" hidden="true" customHeight="false" outlineLevel="0" collapsed="false">
      <c r="A688" s="1" t="n">
        <v>16</v>
      </c>
      <c r="B688" s="1" t="s">
        <v>131</v>
      </c>
      <c r="C688" s="1" t="s">
        <v>318</v>
      </c>
      <c r="D688" s="23" t="s">
        <v>205</v>
      </c>
      <c r="E688" s="1" t="s">
        <v>206</v>
      </c>
      <c r="F688" s="1" t="s">
        <v>138</v>
      </c>
      <c r="G688" s="21" t="n">
        <f aca="false">K688/3.1416</f>
        <v>10.1858925388337</v>
      </c>
      <c r="H688" s="1" t="n">
        <v>6</v>
      </c>
      <c r="I688" s="1" t="s">
        <v>129</v>
      </c>
      <c r="J688" s="1" t="s">
        <v>74</v>
      </c>
      <c r="K688" s="1" t="n">
        <v>32</v>
      </c>
    </row>
    <row r="689" customFormat="false" ht="14.25" hidden="true" customHeight="false" outlineLevel="0" collapsed="false">
      <c r="A689" s="1" t="n">
        <v>16</v>
      </c>
      <c r="B689" s="1" t="s">
        <v>131</v>
      </c>
      <c r="C689" s="1" t="s">
        <v>318</v>
      </c>
      <c r="D689" s="23" t="s">
        <v>205</v>
      </c>
      <c r="E689" s="1" t="s">
        <v>206</v>
      </c>
      <c r="F689" s="1" t="s">
        <v>120</v>
      </c>
      <c r="G689" s="21" t="n">
        <f aca="false">K689/3.1416</f>
        <v>9.86758339699516</v>
      </c>
      <c r="H689" s="1" t="n">
        <v>7</v>
      </c>
      <c r="I689" s="1" t="s">
        <v>234</v>
      </c>
      <c r="J689" s="1" t="s">
        <v>74</v>
      </c>
      <c r="K689" s="1" t="n">
        <v>31</v>
      </c>
    </row>
    <row r="690" customFormat="false" ht="14.25" hidden="true" customHeight="false" outlineLevel="0" collapsed="false">
      <c r="A690" s="1" t="n">
        <v>17</v>
      </c>
      <c r="B690" s="1" t="s">
        <v>128</v>
      </c>
      <c r="C690" s="1" t="s">
        <v>318</v>
      </c>
      <c r="D690" s="23" t="s">
        <v>205</v>
      </c>
      <c r="E690" s="1" t="s">
        <v>206</v>
      </c>
      <c r="F690" s="1" t="s">
        <v>138</v>
      </c>
      <c r="G690" s="21" t="n">
        <f aca="false">K690/3.1416</f>
        <v>8.59434682964095</v>
      </c>
      <c r="H690" s="1" t="n">
        <v>8</v>
      </c>
      <c r="I690" s="1" t="s">
        <v>129</v>
      </c>
      <c r="J690" s="1" t="s">
        <v>74</v>
      </c>
      <c r="K690" s="1" t="n">
        <v>27</v>
      </c>
    </row>
    <row r="691" customFormat="false" ht="14.25" hidden="true" customHeight="false" outlineLevel="0" collapsed="false">
      <c r="A691" s="1" t="n">
        <v>17</v>
      </c>
      <c r="B691" s="1" t="s">
        <v>128</v>
      </c>
      <c r="C691" s="1" t="s">
        <v>318</v>
      </c>
      <c r="D691" s="23" t="s">
        <v>205</v>
      </c>
      <c r="E691" s="1" t="s">
        <v>206</v>
      </c>
      <c r="F691" s="1" t="s">
        <v>138</v>
      </c>
      <c r="G691" s="21" t="n">
        <f aca="false">K691/3.1416</f>
        <v>6.36618283677107</v>
      </c>
      <c r="H691" s="1" t="n">
        <v>7</v>
      </c>
      <c r="I691" s="1" t="s">
        <v>129</v>
      </c>
      <c r="J691" s="1" t="s">
        <v>149</v>
      </c>
      <c r="K691" s="1" t="n">
        <v>20</v>
      </c>
    </row>
    <row r="692" customFormat="false" ht="14.25" hidden="true" customHeight="false" outlineLevel="0" collapsed="false">
      <c r="A692" s="1" t="n">
        <v>18</v>
      </c>
      <c r="B692" s="1" t="s">
        <v>128</v>
      </c>
      <c r="C692" s="1" t="s">
        <v>318</v>
      </c>
      <c r="D692" s="23" t="s">
        <v>205</v>
      </c>
      <c r="E692" s="1" t="s">
        <v>206</v>
      </c>
      <c r="F692" s="1" t="s">
        <v>138</v>
      </c>
      <c r="G692" s="21" t="n">
        <f aca="false">K692/3.1416</f>
        <v>10.8225108225108</v>
      </c>
      <c r="H692" s="1" t="n">
        <v>10</v>
      </c>
      <c r="I692" s="1" t="s">
        <v>129</v>
      </c>
      <c r="J692" s="1" t="s">
        <v>74</v>
      </c>
      <c r="K692" s="1" t="n">
        <v>34</v>
      </c>
    </row>
    <row r="693" customFormat="false" ht="14.25" hidden="true" customHeight="false" outlineLevel="0" collapsed="false">
      <c r="A693" s="1" t="n">
        <v>20</v>
      </c>
      <c r="B693" s="1" t="s">
        <v>128</v>
      </c>
      <c r="C693" s="1" t="s">
        <v>318</v>
      </c>
      <c r="D693" s="23" t="s">
        <v>205</v>
      </c>
      <c r="E693" s="1" t="s">
        <v>206</v>
      </c>
      <c r="F693" s="1" t="s">
        <v>138</v>
      </c>
      <c r="G693" s="21" t="n">
        <f aca="false">K693/3.1416</f>
        <v>10.8225108225108</v>
      </c>
      <c r="H693" s="1" t="n">
        <v>3</v>
      </c>
      <c r="I693" s="1" t="s">
        <v>129</v>
      </c>
      <c r="J693" s="1" t="s">
        <v>74</v>
      </c>
      <c r="K693" s="1" t="n">
        <v>34</v>
      </c>
    </row>
    <row r="694" customFormat="false" ht="14.25" hidden="true" customHeight="false" outlineLevel="0" collapsed="false">
      <c r="A694" s="1" t="n">
        <v>20</v>
      </c>
      <c r="B694" s="1" t="s">
        <v>128</v>
      </c>
      <c r="C694" s="1" t="s">
        <v>318</v>
      </c>
      <c r="D694" s="23" t="s">
        <v>205</v>
      </c>
      <c r="E694" s="1" t="s">
        <v>206</v>
      </c>
      <c r="F694" s="1" t="s">
        <v>138</v>
      </c>
      <c r="G694" s="21" t="n">
        <f aca="false">K694/3.1416</f>
        <v>10.5042016806723</v>
      </c>
      <c r="H694" s="1" t="n">
        <v>5</v>
      </c>
      <c r="I694" s="1" t="s">
        <v>129</v>
      </c>
      <c r="J694" s="1" t="s">
        <v>74</v>
      </c>
      <c r="K694" s="1" t="n">
        <v>33</v>
      </c>
    </row>
    <row r="695" customFormat="false" ht="14.25" hidden="true" customHeight="false" outlineLevel="0" collapsed="false">
      <c r="A695" s="1" t="n">
        <v>20</v>
      </c>
      <c r="B695" s="1" t="s">
        <v>128</v>
      </c>
      <c r="C695" s="1" t="s">
        <v>318</v>
      </c>
      <c r="D695" s="23" t="s">
        <v>205</v>
      </c>
      <c r="E695" s="1" t="s">
        <v>206</v>
      </c>
      <c r="F695" s="1" t="s">
        <v>138</v>
      </c>
      <c r="G695" s="21" t="n">
        <f aca="false">K695/3.1416</f>
        <v>7.63941940412529</v>
      </c>
      <c r="H695" s="1" t="n">
        <v>4</v>
      </c>
      <c r="I695" s="1" t="s">
        <v>129</v>
      </c>
      <c r="J695" s="1" t="s">
        <v>74</v>
      </c>
      <c r="K695" s="1" t="n">
        <v>24</v>
      </c>
    </row>
    <row r="696" customFormat="false" ht="14.25" hidden="true" customHeight="false" outlineLevel="0" collapsed="false">
      <c r="A696" s="1" t="n">
        <v>20</v>
      </c>
      <c r="B696" s="1" t="s">
        <v>128</v>
      </c>
      <c r="C696" s="1" t="s">
        <v>318</v>
      </c>
      <c r="D696" s="23" t="s">
        <v>205</v>
      </c>
      <c r="E696" s="1" t="s">
        <v>206</v>
      </c>
      <c r="F696" s="1" t="s">
        <v>138</v>
      </c>
      <c r="G696" s="21" t="n">
        <f aca="false">K696/3.1416</f>
        <v>6.36618283677107</v>
      </c>
      <c r="H696" s="1" t="n">
        <v>4</v>
      </c>
      <c r="I696" s="1" t="s">
        <v>129</v>
      </c>
      <c r="J696" s="1" t="s">
        <v>74</v>
      </c>
      <c r="K696" s="1" t="n">
        <v>20</v>
      </c>
    </row>
    <row r="697" customFormat="false" ht="14.25" hidden="true" customHeight="false" outlineLevel="0" collapsed="false">
      <c r="A697" s="1" t="n">
        <v>20</v>
      </c>
      <c r="B697" s="1" t="s">
        <v>128</v>
      </c>
      <c r="C697" s="1" t="s">
        <v>318</v>
      </c>
      <c r="D697" s="23" t="s">
        <v>205</v>
      </c>
      <c r="E697" s="1" t="s">
        <v>206</v>
      </c>
      <c r="F697" s="1" t="s">
        <v>138</v>
      </c>
      <c r="G697" s="21" t="n">
        <f aca="false">K697/3.1416</f>
        <v>7.63941940412529</v>
      </c>
      <c r="H697" s="1" t="n">
        <v>4</v>
      </c>
      <c r="I697" s="1" t="s">
        <v>129</v>
      </c>
      <c r="J697" s="1" t="s">
        <v>74</v>
      </c>
      <c r="K697" s="1" t="n">
        <v>24</v>
      </c>
    </row>
    <row r="698" customFormat="false" ht="14.25" hidden="true" customHeight="false" outlineLevel="0" collapsed="false">
      <c r="A698" s="1" t="n">
        <v>20</v>
      </c>
      <c r="B698" s="1" t="s">
        <v>128</v>
      </c>
      <c r="C698" s="1" t="s">
        <v>318</v>
      </c>
      <c r="D698" s="23" t="s">
        <v>205</v>
      </c>
      <c r="E698" s="1" t="s">
        <v>206</v>
      </c>
      <c r="F698" s="1" t="s">
        <v>138</v>
      </c>
      <c r="G698" s="21" t="n">
        <f aca="false">K698/3.1416</f>
        <v>10.5042016806723</v>
      </c>
      <c r="H698" s="1" t="n">
        <v>6</v>
      </c>
      <c r="I698" s="1" t="s">
        <v>129</v>
      </c>
      <c r="J698" s="1" t="s">
        <v>74</v>
      </c>
      <c r="K698" s="1" t="n">
        <v>33</v>
      </c>
    </row>
    <row r="699" customFormat="false" ht="14.25" hidden="true" customHeight="false" outlineLevel="0" collapsed="false">
      <c r="A699" s="1" t="n">
        <v>20</v>
      </c>
      <c r="B699" s="1" t="s">
        <v>128</v>
      </c>
      <c r="C699" s="1" t="s">
        <v>318</v>
      </c>
      <c r="D699" s="23" t="s">
        <v>205</v>
      </c>
      <c r="E699" s="1" t="s">
        <v>206</v>
      </c>
      <c r="F699" s="1" t="s">
        <v>138</v>
      </c>
      <c r="G699" s="21" t="n">
        <f aca="false">K699/3.1416</f>
        <v>10.8225108225108</v>
      </c>
      <c r="H699" s="1" t="n">
        <v>6</v>
      </c>
      <c r="I699" s="1" t="s">
        <v>129</v>
      </c>
      <c r="J699" s="1" t="s">
        <v>74</v>
      </c>
      <c r="K699" s="1" t="n">
        <v>34</v>
      </c>
    </row>
    <row r="700" customFormat="false" ht="14.25" hidden="true" customHeight="false" outlineLevel="0" collapsed="false">
      <c r="A700" s="1" t="n">
        <v>21</v>
      </c>
      <c r="B700" s="1" t="s">
        <v>135</v>
      </c>
      <c r="C700" s="1" t="s">
        <v>318</v>
      </c>
      <c r="D700" s="23" t="s">
        <v>205</v>
      </c>
      <c r="E700" s="1" t="s">
        <v>206</v>
      </c>
      <c r="F700" s="1" t="s">
        <v>120</v>
      </c>
      <c r="G700" s="21" t="n">
        <f aca="false">K700/3.1416</f>
        <v>6.36618283677107</v>
      </c>
      <c r="H700" s="1" t="n">
        <v>3</v>
      </c>
      <c r="I700" s="1" t="s">
        <v>129</v>
      </c>
      <c r="J700" s="1" t="s">
        <v>74</v>
      </c>
      <c r="K700" s="1" t="n">
        <v>20</v>
      </c>
    </row>
    <row r="701" customFormat="false" ht="14.25" hidden="true" customHeight="false" outlineLevel="0" collapsed="false">
      <c r="A701" s="1" t="n">
        <v>21</v>
      </c>
      <c r="B701" s="1" t="s">
        <v>135</v>
      </c>
      <c r="C701" s="1" t="s">
        <v>318</v>
      </c>
      <c r="D701" s="23" t="s">
        <v>205</v>
      </c>
      <c r="E701" s="1" t="s">
        <v>206</v>
      </c>
      <c r="F701" s="1" t="s">
        <v>138</v>
      </c>
      <c r="G701" s="21" t="n">
        <f aca="false">K701/3.1416</f>
        <v>7.95772854596384</v>
      </c>
      <c r="H701" s="1" t="n">
        <v>8</v>
      </c>
      <c r="I701" s="1" t="s">
        <v>129</v>
      </c>
      <c r="J701" s="1" t="s">
        <v>74</v>
      </c>
      <c r="K701" s="1" t="n">
        <v>25</v>
      </c>
    </row>
    <row r="702" customFormat="false" ht="14.25" hidden="true" customHeight="false" outlineLevel="0" collapsed="false">
      <c r="A702" s="1" t="n">
        <v>22</v>
      </c>
      <c r="B702" s="1" t="s">
        <v>135</v>
      </c>
      <c r="C702" s="1" t="s">
        <v>318</v>
      </c>
      <c r="D702" s="23" t="s">
        <v>205</v>
      </c>
      <c r="E702" s="1" t="s">
        <v>206</v>
      </c>
      <c r="F702" s="1" t="s">
        <v>120</v>
      </c>
      <c r="G702" s="21" t="n">
        <f aca="false">K702/3.1416</f>
        <v>12.4140565317036</v>
      </c>
      <c r="H702" s="1" t="n">
        <v>8</v>
      </c>
      <c r="I702" s="1" t="s">
        <v>129</v>
      </c>
      <c r="J702" s="1" t="s">
        <v>74</v>
      </c>
      <c r="K702" s="1" t="n">
        <v>39</v>
      </c>
    </row>
    <row r="703" customFormat="false" ht="14.25" hidden="true" customHeight="false" outlineLevel="0" collapsed="false">
      <c r="A703" s="1" t="n">
        <v>23</v>
      </c>
      <c r="B703" s="1" t="s">
        <v>135</v>
      </c>
      <c r="C703" s="1" t="s">
        <v>318</v>
      </c>
      <c r="D703" s="23" t="s">
        <v>205</v>
      </c>
      <c r="E703" s="1" t="s">
        <v>206</v>
      </c>
      <c r="F703" s="1" t="s">
        <v>138</v>
      </c>
      <c r="G703" s="21" t="n">
        <f aca="false">K703/3.1416</f>
        <v>11.4591291061879</v>
      </c>
      <c r="H703" s="1" t="n">
        <v>6</v>
      </c>
      <c r="I703" s="1" t="s">
        <v>129</v>
      </c>
      <c r="J703" s="1" t="s">
        <v>74</v>
      </c>
      <c r="K703" s="1" t="n">
        <v>36</v>
      </c>
    </row>
    <row r="704" customFormat="false" ht="14.25" hidden="true" customHeight="false" outlineLevel="0" collapsed="false">
      <c r="A704" s="1" t="n">
        <v>23</v>
      </c>
      <c r="B704" s="1" t="s">
        <v>135</v>
      </c>
      <c r="C704" s="1" t="s">
        <v>318</v>
      </c>
      <c r="D704" s="23" t="s">
        <v>205</v>
      </c>
      <c r="E704" s="1" t="s">
        <v>206</v>
      </c>
      <c r="F704" s="1" t="s">
        <v>138</v>
      </c>
      <c r="G704" s="21" t="n">
        <f aca="false">K704/3.1416</f>
        <v>6.68449197860963</v>
      </c>
      <c r="H704" s="1" t="n">
        <v>5</v>
      </c>
      <c r="I704" s="1" t="s">
        <v>129</v>
      </c>
      <c r="J704" s="1" t="s">
        <v>74</v>
      </c>
      <c r="K704" s="1" t="n">
        <v>21</v>
      </c>
    </row>
    <row r="705" customFormat="false" ht="14.25" hidden="true" customHeight="false" outlineLevel="0" collapsed="false">
      <c r="A705" s="1" t="n">
        <v>24</v>
      </c>
      <c r="B705" s="1" t="s">
        <v>135</v>
      </c>
      <c r="C705" s="1" t="s">
        <v>318</v>
      </c>
      <c r="D705" s="23" t="s">
        <v>205</v>
      </c>
      <c r="E705" s="1" t="s">
        <v>206</v>
      </c>
      <c r="F705" s="1" t="s">
        <v>138</v>
      </c>
      <c r="G705" s="21" t="n">
        <f aca="false">K705/3.1416</f>
        <v>14.0056022408964</v>
      </c>
      <c r="H705" s="1" t="n">
        <v>12</v>
      </c>
      <c r="I705" s="1" t="s">
        <v>129</v>
      </c>
      <c r="J705" s="1" t="s">
        <v>74</v>
      </c>
      <c r="K705" s="1" t="n">
        <v>44</v>
      </c>
    </row>
    <row r="706" customFormat="false" ht="14.25" hidden="true" customHeight="false" outlineLevel="0" collapsed="false">
      <c r="A706" s="1" t="n">
        <v>25</v>
      </c>
      <c r="B706" s="1" t="s">
        <v>135</v>
      </c>
      <c r="C706" s="1" t="s">
        <v>318</v>
      </c>
      <c r="D706" s="23" t="s">
        <v>319</v>
      </c>
      <c r="E706" s="1" t="s">
        <v>206</v>
      </c>
      <c r="F706" s="1" t="s">
        <v>120</v>
      </c>
      <c r="G706" s="21" t="n">
        <f aca="false">K706/3.1416</f>
        <v>3.18309141838554</v>
      </c>
      <c r="H706" s="1" t="n">
        <v>5</v>
      </c>
      <c r="I706" s="1" t="s">
        <v>129</v>
      </c>
      <c r="J706" s="1" t="s">
        <v>74</v>
      </c>
      <c r="K706" s="1" t="n">
        <v>10</v>
      </c>
    </row>
    <row r="707" customFormat="false" ht="14.25" hidden="true" customHeight="false" outlineLevel="0" collapsed="false">
      <c r="A707" s="1" t="n">
        <v>27</v>
      </c>
      <c r="B707" s="1" t="s">
        <v>82</v>
      </c>
      <c r="C707" s="1" t="s">
        <v>318</v>
      </c>
      <c r="D707" s="23" t="s">
        <v>205</v>
      </c>
      <c r="E707" s="1" t="s">
        <v>206</v>
      </c>
      <c r="F707" s="1" t="s">
        <v>138</v>
      </c>
      <c r="G707" s="21" t="n">
        <f aca="false">K707/3.1416</f>
        <v>6.04787369493252</v>
      </c>
      <c r="H707" s="1" t="n">
        <v>5</v>
      </c>
      <c r="I707" s="1" t="s">
        <v>129</v>
      </c>
      <c r="J707" s="1" t="s">
        <v>74</v>
      </c>
      <c r="K707" s="1" t="n">
        <v>19</v>
      </c>
    </row>
    <row r="708" customFormat="false" ht="14.25" hidden="true" customHeight="false" outlineLevel="0" collapsed="false">
      <c r="A708" s="1" t="n">
        <v>27</v>
      </c>
      <c r="B708" s="1" t="s">
        <v>82</v>
      </c>
      <c r="C708" s="1" t="s">
        <v>318</v>
      </c>
      <c r="D708" s="23" t="s">
        <v>205</v>
      </c>
      <c r="E708" s="1" t="s">
        <v>206</v>
      </c>
      <c r="F708" s="1" t="s">
        <v>138</v>
      </c>
      <c r="G708" s="21" t="n">
        <f aca="false">K708/3.1416</f>
        <v>5.41125541125541</v>
      </c>
      <c r="H708" s="1" t="n">
        <v>3</v>
      </c>
      <c r="I708" s="1" t="s">
        <v>129</v>
      </c>
      <c r="J708" s="1" t="s">
        <v>74</v>
      </c>
      <c r="K708" s="1" t="n">
        <v>17</v>
      </c>
    </row>
    <row r="709" customFormat="false" ht="14.25" hidden="true" customHeight="false" outlineLevel="0" collapsed="false">
      <c r="A709" s="1" t="n">
        <v>27</v>
      </c>
      <c r="B709" s="1" t="s">
        <v>82</v>
      </c>
      <c r="C709" s="1" t="s">
        <v>318</v>
      </c>
      <c r="D709" s="23" t="s">
        <v>205</v>
      </c>
      <c r="E709" s="1" t="s">
        <v>206</v>
      </c>
      <c r="F709" s="1" t="s">
        <v>138</v>
      </c>
      <c r="G709" s="21" t="n">
        <f aca="false">K709/3.1416</f>
        <v>7.32111026228673</v>
      </c>
      <c r="H709" s="1" t="n">
        <v>5</v>
      </c>
      <c r="I709" s="1" t="s">
        <v>129</v>
      </c>
      <c r="J709" s="1" t="s">
        <v>74</v>
      </c>
      <c r="K709" s="1" t="n">
        <v>23</v>
      </c>
    </row>
    <row r="710" customFormat="false" ht="14.25" hidden="true" customHeight="false" outlineLevel="0" collapsed="false">
      <c r="A710" s="1" t="n">
        <v>27</v>
      </c>
      <c r="B710" s="1" t="s">
        <v>82</v>
      </c>
      <c r="C710" s="1" t="s">
        <v>318</v>
      </c>
      <c r="D710" s="23" t="s">
        <v>205</v>
      </c>
      <c r="E710" s="1" t="s">
        <v>206</v>
      </c>
      <c r="F710" s="1" t="s">
        <v>138</v>
      </c>
      <c r="G710" s="21" t="n">
        <f aca="false">K710/3.1416</f>
        <v>10.5042016806723</v>
      </c>
      <c r="H710" s="1" t="n">
        <v>8</v>
      </c>
      <c r="I710" s="1" t="s">
        <v>129</v>
      </c>
      <c r="J710" s="1" t="s">
        <v>74</v>
      </c>
      <c r="K710" s="1" t="n">
        <v>33</v>
      </c>
    </row>
    <row r="711" customFormat="false" ht="14.25" hidden="true" customHeight="false" outlineLevel="0" collapsed="false">
      <c r="A711" s="1" t="n">
        <v>27</v>
      </c>
      <c r="B711" s="1" t="s">
        <v>82</v>
      </c>
      <c r="C711" s="1" t="s">
        <v>318</v>
      </c>
      <c r="D711" s="23" t="s">
        <v>205</v>
      </c>
      <c r="E711" s="1" t="s">
        <v>206</v>
      </c>
      <c r="F711" s="1" t="s">
        <v>138</v>
      </c>
      <c r="G711" s="21" t="n">
        <f aca="false">K711/3.1416</f>
        <v>3.18309141838554</v>
      </c>
      <c r="H711" s="1" t="n">
        <v>3</v>
      </c>
      <c r="I711" s="1" t="s">
        <v>129</v>
      </c>
      <c r="J711" s="1" t="s">
        <v>74</v>
      </c>
      <c r="K711" s="1" t="n">
        <v>10</v>
      </c>
    </row>
    <row r="712" customFormat="false" ht="14.25" hidden="true" customHeight="false" outlineLevel="0" collapsed="false">
      <c r="A712" s="1" t="n">
        <v>28</v>
      </c>
      <c r="B712" s="1" t="s">
        <v>82</v>
      </c>
      <c r="C712" s="1" t="s">
        <v>318</v>
      </c>
      <c r="D712" s="23" t="s">
        <v>205</v>
      </c>
      <c r="E712" s="1" t="s">
        <v>206</v>
      </c>
      <c r="F712" s="1" t="s">
        <v>138</v>
      </c>
      <c r="G712" s="21" t="n">
        <f aca="false">K712/3.1416</f>
        <v>13.3689839572193</v>
      </c>
      <c r="H712" s="1" t="n">
        <v>6</v>
      </c>
      <c r="I712" s="1" t="s">
        <v>129</v>
      </c>
      <c r="J712" s="1" t="s">
        <v>74</v>
      </c>
      <c r="K712" s="1" t="n">
        <v>42</v>
      </c>
    </row>
    <row r="713" customFormat="false" ht="14.25" hidden="true" customHeight="false" outlineLevel="0" collapsed="false">
      <c r="A713" s="1" t="n">
        <v>29</v>
      </c>
      <c r="B713" s="1" t="s">
        <v>131</v>
      </c>
      <c r="C713" s="1" t="s">
        <v>318</v>
      </c>
      <c r="D713" s="23" t="s">
        <v>205</v>
      </c>
      <c r="E713" s="1" t="s">
        <v>206</v>
      </c>
      <c r="F713" s="1" t="s">
        <v>138</v>
      </c>
      <c r="G713" s="21" t="n">
        <f aca="false">K713/3.1416</f>
        <v>0.636618283677107</v>
      </c>
      <c r="H713" s="1" t="n">
        <v>7</v>
      </c>
      <c r="I713" s="1" t="s">
        <v>129</v>
      </c>
      <c r="J713" s="1" t="s">
        <v>74</v>
      </c>
      <c r="K713" s="1" t="n">
        <v>2</v>
      </c>
    </row>
    <row r="714" customFormat="false" ht="14.25" hidden="true" customHeight="false" outlineLevel="0" collapsed="false">
      <c r="A714" s="1" t="n">
        <v>29</v>
      </c>
      <c r="B714" s="1" t="s">
        <v>131</v>
      </c>
      <c r="C714" s="1" t="s">
        <v>318</v>
      </c>
      <c r="D714" s="23" t="s">
        <v>205</v>
      </c>
      <c r="E714" s="1" t="s">
        <v>206</v>
      </c>
      <c r="F714" s="1" t="s">
        <v>138</v>
      </c>
      <c r="G714" s="21" t="n">
        <f aca="false">K714/3.1416</f>
        <v>7.00280112044818</v>
      </c>
      <c r="H714" s="1" t="n">
        <v>5</v>
      </c>
      <c r="I714" s="1" t="s">
        <v>129</v>
      </c>
      <c r="J714" s="1" t="s">
        <v>74</v>
      </c>
      <c r="K714" s="1" t="n">
        <v>22</v>
      </c>
    </row>
    <row r="715" customFormat="false" ht="14.25" hidden="true" customHeight="false" outlineLevel="0" collapsed="false">
      <c r="A715" s="1" t="n">
        <v>29</v>
      </c>
      <c r="B715" s="1" t="s">
        <v>131</v>
      </c>
      <c r="C715" s="1" t="s">
        <v>318</v>
      </c>
      <c r="D715" s="23" t="s">
        <v>205</v>
      </c>
      <c r="E715" s="1" t="s">
        <v>206</v>
      </c>
      <c r="F715" s="1" t="s">
        <v>138</v>
      </c>
      <c r="G715" s="21" t="n">
        <f aca="false">K715/3.1416</f>
        <v>7.95772854596384</v>
      </c>
      <c r="H715" s="1" t="n">
        <v>3</v>
      </c>
      <c r="I715" s="1" t="s">
        <v>129</v>
      </c>
      <c r="J715" s="1" t="s">
        <v>74</v>
      </c>
      <c r="K715" s="1" t="n">
        <v>25</v>
      </c>
    </row>
    <row r="716" customFormat="false" ht="14.25" hidden="true" customHeight="false" outlineLevel="0" collapsed="false">
      <c r="A716" s="1" t="n">
        <v>30</v>
      </c>
      <c r="B716" s="1" t="s">
        <v>131</v>
      </c>
      <c r="C716" s="1" t="s">
        <v>318</v>
      </c>
      <c r="D716" s="23" t="s">
        <v>205</v>
      </c>
      <c r="E716" s="1" t="s">
        <v>206</v>
      </c>
      <c r="F716" s="1" t="s">
        <v>138</v>
      </c>
      <c r="G716" s="21" t="n">
        <f aca="false">K716/3.1416</f>
        <v>9.23096511331806</v>
      </c>
      <c r="H716" s="1" t="n">
        <v>11</v>
      </c>
      <c r="I716" s="1" t="s">
        <v>129</v>
      </c>
      <c r="J716" s="1" t="s">
        <v>74</v>
      </c>
      <c r="K716" s="1" t="n">
        <v>29</v>
      </c>
    </row>
    <row r="717" customFormat="false" ht="14.25" hidden="true" customHeight="false" outlineLevel="0" collapsed="false">
      <c r="A717" s="1" t="n">
        <v>31</v>
      </c>
      <c r="B717" s="1" t="s">
        <v>131</v>
      </c>
      <c r="C717" s="1" t="s">
        <v>318</v>
      </c>
      <c r="D717" s="23" t="s">
        <v>205</v>
      </c>
      <c r="E717" s="1" t="s">
        <v>206</v>
      </c>
      <c r="F717" s="1" t="s">
        <v>138</v>
      </c>
      <c r="G717" s="21" t="n">
        <f aca="false">K717/3.1416</f>
        <v>7.63941940412529</v>
      </c>
      <c r="H717" s="1" t="n">
        <v>4</v>
      </c>
      <c r="I717" s="1" t="s">
        <v>129</v>
      </c>
      <c r="J717" s="1" t="s">
        <v>74</v>
      </c>
      <c r="K717" s="1" t="n">
        <v>24</v>
      </c>
    </row>
    <row r="718" customFormat="false" ht="14.25" hidden="true" customHeight="false" outlineLevel="0" collapsed="false">
      <c r="A718" s="1" t="n">
        <v>4</v>
      </c>
      <c r="B718" s="1" t="s">
        <v>122</v>
      </c>
      <c r="C718" s="1" t="s">
        <v>320</v>
      </c>
      <c r="D718" s="23" t="s">
        <v>140</v>
      </c>
      <c r="E718" s="1" t="s">
        <v>126</v>
      </c>
      <c r="F718" s="2" t="s">
        <v>120</v>
      </c>
      <c r="G718" s="21" t="n">
        <f aca="false">K718/3.1416</f>
        <v>3.18309141838554</v>
      </c>
      <c r="H718" s="1" t="n">
        <v>0</v>
      </c>
      <c r="I718" s="2" t="s">
        <v>74</v>
      </c>
      <c r="J718" s="1" t="s">
        <v>130</v>
      </c>
      <c r="K718" s="1" t="n">
        <v>10</v>
      </c>
    </row>
    <row r="719" customFormat="false" ht="14.25" hidden="true" customHeight="false" outlineLevel="0" collapsed="false">
      <c r="A719" s="1" t="n">
        <v>6</v>
      </c>
      <c r="B719" s="1" t="s">
        <v>122</v>
      </c>
      <c r="C719" s="1" t="s">
        <v>320</v>
      </c>
      <c r="D719" s="23" t="s">
        <v>140</v>
      </c>
      <c r="E719" s="1" t="s">
        <v>126</v>
      </c>
      <c r="F719" s="2" t="s">
        <v>120</v>
      </c>
      <c r="G719" s="21" t="n">
        <f aca="false">K719/3.1416</f>
        <v>2.22816399286988</v>
      </c>
      <c r="H719" s="1" t="n">
        <v>3</v>
      </c>
      <c r="I719" s="2" t="s">
        <v>74</v>
      </c>
      <c r="J719" s="1" t="s">
        <v>130</v>
      </c>
      <c r="K719" s="1" t="n">
        <v>7</v>
      </c>
    </row>
    <row r="720" customFormat="false" ht="14.25" hidden="true" customHeight="false" outlineLevel="0" collapsed="false">
      <c r="A720" s="1" t="n">
        <v>7</v>
      </c>
      <c r="B720" s="1" t="s">
        <v>122</v>
      </c>
      <c r="C720" s="1" t="s">
        <v>320</v>
      </c>
      <c r="D720" s="23" t="s">
        <v>125</v>
      </c>
      <c r="E720" s="1" t="s">
        <v>126</v>
      </c>
      <c r="F720" s="2" t="s">
        <v>120</v>
      </c>
      <c r="G720" s="21" t="n">
        <f aca="false">K720/3.1416</f>
        <v>7.95772854596384</v>
      </c>
      <c r="H720" s="1" t="n">
        <v>7</v>
      </c>
      <c r="I720" s="2" t="s">
        <v>74</v>
      </c>
      <c r="J720" s="1" t="s">
        <v>130</v>
      </c>
      <c r="K720" s="1" t="n">
        <v>25</v>
      </c>
    </row>
    <row r="721" customFormat="false" ht="14.25" hidden="true" customHeight="false" outlineLevel="0" collapsed="false">
      <c r="A721" s="1" t="n">
        <v>8</v>
      </c>
      <c r="B721" s="1" t="s">
        <v>122</v>
      </c>
      <c r="C721" s="1" t="s">
        <v>320</v>
      </c>
      <c r="D721" s="23"/>
      <c r="G721" s="21" t="n">
        <f aca="false">K721/3.1416</f>
        <v>3.18309141838554</v>
      </c>
      <c r="H721" s="1" t="n">
        <v>4</v>
      </c>
      <c r="I721" s="2" t="s">
        <v>134</v>
      </c>
      <c r="J721" s="1" t="s">
        <v>130</v>
      </c>
      <c r="K721" s="1" t="n">
        <v>10</v>
      </c>
    </row>
    <row r="722" customFormat="false" ht="14.25" hidden="false" customHeight="false" outlineLevel="0" collapsed="false">
      <c r="A722" s="1" t="n">
        <v>10</v>
      </c>
      <c r="B722" s="1" t="s">
        <v>82</v>
      </c>
      <c r="C722" s="1" t="s">
        <v>320</v>
      </c>
      <c r="D722" s="23" t="s">
        <v>321</v>
      </c>
      <c r="E722" s="1" t="s">
        <v>139</v>
      </c>
      <c r="F722" s="2" t="s">
        <v>120</v>
      </c>
      <c r="G722" s="21" t="n">
        <f aca="false">K722/3.1416</f>
        <v>5.41125541125541</v>
      </c>
      <c r="H722" s="1" t="n">
        <v>6</v>
      </c>
      <c r="I722" s="1" t="s">
        <v>129</v>
      </c>
      <c r="J722" s="1" t="s">
        <v>130</v>
      </c>
      <c r="K722" s="1" t="n">
        <v>17</v>
      </c>
    </row>
    <row r="723" customFormat="false" ht="14.25" hidden="true" customHeight="false" outlineLevel="0" collapsed="false">
      <c r="A723" s="1" t="n">
        <v>11</v>
      </c>
      <c r="B723" s="1" t="s">
        <v>82</v>
      </c>
      <c r="C723" s="1" t="s">
        <v>320</v>
      </c>
      <c r="D723" s="23"/>
      <c r="G723" s="21" t="n">
        <f aca="false">K723/3.1416</f>
        <v>23.2365673542144</v>
      </c>
      <c r="H723" s="1" t="n">
        <v>20</v>
      </c>
      <c r="I723" s="1" t="s">
        <v>129</v>
      </c>
      <c r="J723" s="1" t="s">
        <v>130</v>
      </c>
      <c r="K723" s="1" t="n">
        <v>73</v>
      </c>
    </row>
    <row r="724" customFormat="false" ht="14.25" hidden="true" customHeight="false" outlineLevel="0" collapsed="false">
      <c r="A724" s="1" t="n">
        <v>27</v>
      </c>
      <c r="B724" s="1" t="s">
        <v>82</v>
      </c>
      <c r="C724" s="1" t="s">
        <v>320</v>
      </c>
      <c r="D724" s="23"/>
      <c r="G724" s="21" t="n">
        <f aca="false">K724/3.1416</f>
        <v>5.09294626941686</v>
      </c>
      <c r="H724" s="1" t="n">
        <v>12</v>
      </c>
      <c r="I724" s="1" t="s">
        <v>129</v>
      </c>
      <c r="J724" s="1" t="s">
        <v>130</v>
      </c>
      <c r="K724" s="1" t="n">
        <v>16</v>
      </c>
    </row>
    <row r="725" customFormat="false" ht="14.25" hidden="true" customHeight="false" outlineLevel="0" collapsed="false">
      <c r="A725" s="1" t="n">
        <v>5</v>
      </c>
      <c r="B725" s="1" t="s">
        <v>122</v>
      </c>
      <c r="C725" s="1" t="s">
        <v>322</v>
      </c>
      <c r="D725" s="23" t="s">
        <v>323</v>
      </c>
      <c r="E725" s="1" t="s">
        <v>206</v>
      </c>
      <c r="F725" s="2" t="s">
        <v>324</v>
      </c>
      <c r="G725" s="21" t="n">
        <f aca="false">K725/3.1416</f>
        <v>5.09294626941686</v>
      </c>
      <c r="H725" s="1" t="n">
        <v>0</v>
      </c>
      <c r="I725" s="2" t="s">
        <v>74</v>
      </c>
      <c r="J725" s="1" t="s">
        <v>74</v>
      </c>
      <c r="K725" s="1" t="n">
        <v>16</v>
      </c>
    </row>
    <row r="726" customFormat="false" ht="14.25" hidden="true" customHeight="false" outlineLevel="0" collapsed="false">
      <c r="A726" s="1" t="n">
        <v>5</v>
      </c>
      <c r="B726" s="1" t="s">
        <v>122</v>
      </c>
      <c r="C726" s="1" t="s">
        <v>322</v>
      </c>
      <c r="D726" s="23" t="s">
        <v>323</v>
      </c>
      <c r="E726" s="1" t="s">
        <v>206</v>
      </c>
      <c r="F726" s="2" t="s">
        <v>324</v>
      </c>
      <c r="G726" s="21" t="n">
        <f aca="false">K726/3.1416</f>
        <v>25.4647313470843</v>
      </c>
      <c r="H726" s="1" t="n">
        <v>0</v>
      </c>
      <c r="I726" s="2" t="s">
        <v>74</v>
      </c>
      <c r="J726" s="1" t="s">
        <v>74</v>
      </c>
      <c r="K726" s="1" t="n">
        <v>80</v>
      </c>
    </row>
    <row r="727" customFormat="false" ht="14.25" hidden="true" customHeight="false" outlineLevel="0" collapsed="false">
      <c r="A727" s="1" t="n">
        <v>5</v>
      </c>
      <c r="B727" s="1" t="s">
        <v>122</v>
      </c>
      <c r="C727" s="1" t="s">
        <v>322</v>
      </c>
      <c r="D727" s="23" t="s">
        <v>323</v>
      </c>
      <c r="E727" s="1" t="s">
        <v>206</v>
      </c>
      <c r="F727" s="2" t="s">
        <v>324</v>
      </c>
      <c r="G727" s="21" t="n">
        <f aca="false">K727/3.1416</f>
        <v>5.09294626941686</v>
      </c>
      <c r="H727" s="1" t="n">
        <v>0</v>
      </c>
      <c r="I727" s="2" t="s">
        <v>74</v>
      </c>
      <c r="J727" s="1" t="s">
        <v>74</v>
      </c>
      <c r="K727" s="1" t="n">
        <v>16</v>
      </c>
    </row>
    <row r="728" customFormat="false" ht="14.25" hidden="true" customHeight="false" outlineLevel="0" collapsed="false">
      <c r="A728" s="1" t="n">
        <v>5</v>
      </c>
      <c r="B728" s="1" t="s">
        <v>122</v>
      </c>
      <c r="C728" s="1" t="s">
        <v>322</v>
      </c>
      <c r="D728" s="23" t="s">
        <v>323</v>
      </c>
      <c r="E728" s="1" t="s">
        <v>206</v>
      </c>
      <c r="F728" s="2" t="s">
        <v>324</v>
      </c>
      <c r="G728" s="21" t="n">
        <f aca="false">K728/3.1416</f>
        <v>5.09294626941686</v>
      </c>
      <c r="H728" s="1" t="n">
        <v>0</v>
      </c>
      <c r="I728" s="2" t="s">
        <v>74</v>
      </c>
      <c r="J728" s="1" t="s">
        <v>74</v>
      </c>
      <c r="K728" s="1" t="n">
        <v>16</v>
      </c>
    </row>
    <row r="729" customFormat="false" ht="14.25" hidden="true" customHeight="false" outlineLevel="0" collapsed="false">
      <c r="A729" s="1" t="n">
        <v>5</v>
      </c>
      <c r="B729" s="1" t="s">
        <v>122</v>
      </c>
      <c r="C729" s="1" t="s">
        <v>322</v>
      </c>
      <c r="D729" s="23" t="s">
        <v>323</v>
      </c>
      <c r="E729" s="1" t="s">
        <v>206</v>
      </c>
      <c r="F729" s="2" t="s">
        <v>324</v>
      </c>
      <c r="G729" s="21" t="n">
        <f aca="false">K729/3.1416</f>
        <v>5.09294626941686</v>
      </c>
      <c r="H729" s="1" t="n">
        <v>0</v>
      </c>
      <c r="I729" s="2" t="s">
        <v>74</v>
      </c>
      <c r="J729" s="1" t="s">
        <v>74</v>
      </c>
      <c r="K729" s="1" t="n">
        <v>16</v>
      </c>
    </row>
    <row r="730" customFormat="false" ht="14.25" hidden="true" customHeight="false" outlineLevel="0" collapsed="false">
      <c r="A730" s="1" t="n">
        <v>9</v>
      </c>
      <c r="B730" s="1" t="s">
        <v>122</v>
      </c>
      <c r="C730" s="1" t="s">
        <v>322</v>
      </c>
      <c r="D730" s="23" t="s">
        <v>319</v>
      </c>
      <c r="E730" s="1" t="s">
        <v>206</v>
      </c>
      <c r="F730" s="2" t="s">
        <v>120</v>
      </c>
      <c r="G730" s="21" t="n">
        <f aca="false">K730/3.1416</f>
        <v>20.690094219506</v>
      </c>
      <c r="H730" s="1" t="n">
        <v>15</v>
      </c>
      <c r="I730" s="2" t="s">
        <v>129</v>
      </c>
      <c r="J730" s="1" t="s">
        <v>149</v>
      </c>
      <c r="K730" s="1" t="n">
        <v>65</v>
      </c>
    </row>
    <row r="731" customFormat="false" ht="14.25" hidden="true" customHeight="false" outlineLevel="0" collapsed="false">
      <c r="A731" s="1" t="n">
        <v>9</v>
      </c>
      <c r="B731" s="1" t="s">
        <v>122</v>
      </c>
      <c r="C731" s="1" t="s">
        <v>322</v>
      </c>
      <c r="D731" s="23" t="s">
        <v>319</v>
      </c>
      <c r="E731" s="1" t="s">
        <v>206</v>
      </c>
      <c r="F731" s="2" t="s">
        <v>120</v>
      </c>
      <c r="G731" s="21" t="n">
        <f aca="false">K731/3.1416</f>
        <v>17.5070028011205</v>
      </c>
      <c r="H731" s="1" t="n">
        <v>8</v>
      </c>
      <c r="I731" s="2" t="s">
        <v>129</v>
      </c>
      <c r="J731" s="1" t="s">
        <v>74</v>
      </c>
      <c r="K731" s="1" t="n">
        <v>55</v>
      </c>
    </row>
    <row r="732" customFormat="false" ht="14.25" hidden="true" customHeight="false" outlineLevel="0" collapsed="false">
      <c r="A732" s="1" t="n">
        <v>13</v>
      </c>
      <c r="B732" s="1" t="s">
        <v>128</v>
      </c>
      <c r="C732" s="1" t="s">
        <v>322</v>
      </c>
      <c r="D732" s="23" t="s">
        <v>319</v>
      </c>
      <c r="E732" s="1" t="s">
        <v>206</v>
      </c>
      <c r="F732" s="1" t="s">
        <v>120</v>
      </c>
      <c r="G732" s="21" t="n">
        <f aca="false">2*K732/3.1416</f>
        <v>63.6618283677107</v>
      </c>
      <c r="H732" s="1" t="n">
        <v>7</v>
      </c>
      <c r="I732" s="1" t="s">
        <v>129</v>
      </c>
      <c r="J732" s="1" t="s">
        <v>74</v>
      </c>
      <c r="K732" s="1" t="n">
        <v>100</v>
      </c>
    </row>
    <row r="733" customFormat="false" ht="14.25" hidden="true" customHeight="false" outlineLevel="0" collapsed="false">
      <c r="A733" s="1" t="n">
        <v>3</v>
      </c>
      <c r="B733" s="1" t="s">
        <v>82</v>
      </c>
      <c r="C733" s="1" t="s">
        <v>325</v>
      </c>
      <c r="D733" s="23" t="s">
        <v>205</v>
      </c>
      <c r="E733" s="1" t="s">
        <v>206</v>
      </c>
      <c r="F733" s="1" t="s">
        <v>138</v>
      </c>
      <c r="G733" s="21" t="n">
        <f aca="false">ROUND(K733/PI(),0)</f>
        <v>4</v>
      </c>
      <c r="H733" s="1" t="n">
        <v>4</v>
      </c>
      <c r="I733" s="1" t="s">
        <v>129</v>
      </c>
      <c r="J733" s="1" t="s">
        <v>149</v>
      </c>
      <c r="K733" s="1" t="n">
        <v>12</v>
      </c>
    </row>
    <row r="734" customFormat="false" ht="14.25" hidden="true" customHeight="false" outlineLevel="0" collapsed="false">
      <c r="A734" s="1" t="n">
        <v>3</v>
      </c>
      <c r="B734" s="1" t="s">
        <v>82</v>
      </c>
      <c r="C734" s="1" t="s">
        <v>325</v>
      </c>
      <c r="D734" s="23" t="s">
        <v>205</v>
      </c>
      <c r="E734" s="1" t="s">
        <v>206</v>
      </c>
      <c r="F734" s="1" t="s">
        <v>138</v>
      </c>
      <c r="G734" s="21" t="n">
        <f aca="false">ROUND(K734/PI(),0)</f>
        <v>9</v>
      </c>
      <c r="H734" s="1" t="n">
        <v>6</v>
      </c>
      <c r="I734" s="1" t="s">
        <v>129</v>
      </c>
      <c r="J734" s="1" t="s">
        <v>149</v>
      </c>
      <c r="K734" s="1" t="n">
        <v>27</v>
      </c>
    </row>
    <row r="735" customFormat="false" ht="14.25" hidden="true" customHeight="false" outlineLevel="0" collapsed="false">
      <c r="A735" s="1" t="n">
        <v>3</v>
      </c>
      <c r="B735" s="1" t="s">
        <v>82</v>
      </c>
      <c r="C735" s="1" t="s">
        <v>325</v>
      </c>
      <c r="D735" s="23" t="s">
        <v>205</v>
      </c>
      <c r="E735" s="1" t="s">
        <v>206</v>
      </c>
      <c r="F735" s="1" t="s">
        <v>138</v>
      </c>
      <c r="G735" s="21" t="n">
        <f aca="false">ROUND(K735/PI(),0)</f>
        <v>3</v>
      </c>
      <c r="H735" s="1" t="n">
        <v>3</v>
      </c>
      <c r="I735" s="1" t="s">
        <v>129</v>
      </c>
      <c r="J735" s="1" t="s">
        <v>149</v>
      </c>
      <c r="K735" s="1" t="n">
        <v>10</v>
      </c>
    </row>
    <row r="736" customFormat="false" ht="14.25" hidden="true" customHeight="false" outlineLevel="0" collapsed="false">
      <c r="A736" s="1" t="n">
        <v>4</v>
      </c>
      <c r="B736" s="1" t="s">
        <v>82</v>
      </c>
      <c r="C736" s="1" t="s">
        <v>325</v>
      </c>
      <c r="D736" s="23" t="s">
        <v>205</v>
      </c>
      <c r="E736" s="1" t="s">
        <v>206</v>
      </c>
      <c r="F736" s="1" t="s">
        <v>138</v>
      </c>
      <c r="G736" s="21" t="n">
        <f aca="false">ROUND(K736/PI(),0)</f>
        <v>6</v>
      </c>
      <c r="H736" s="1" t="n">
        <v>5</v>
      </c>
      <c r="I736" s="1" t="s">
        <v>129</v>
      </c>
      <c r="J736" s="1" t="s">
        <v>149</v>
      </c>
      <c r="K736" s="1" t="n">
        <v>20</v>
      </c>
    </row>
    <row r="737" customFormat="false" ht="14.25" hidden="true" customHeight="false" outlineLevel="0" collapsed="false">
      <c r="A737" s="1" t="n">
        <v>4</v>
      </c>
      <c r="B737" s="1" t="s">
        <v>82</v>
      </c>
      <c r="C737" s="1" t="s">
        <v>325</v>
      </c>
      <c r="D737" s="23" t="s">
        <v>205</v>
      </c>
      <c r="E737" s="1" t="s">
        <v>206</v>
      </c>
      <c r="F737" s="1" t="s">
        <v>138</v>
      </c>
      <c r="G737" s="21" t="n">
        <f aca="false">ROUND(K737/PI(),0)</f>
        <v>12</v>
      </c>
      <c r="H737" s="1" t="n">
        <v>6</v>
      </c>
      <c r="I737" s="1" t="s">
        <v>129</v>
      </c>
      <c r="J737" s="1" t="s">
        <v>149</v>
      </c>
      <c r="K737" s="1" t="n">
        <v>37</v>
      </c>
    </row>
    <row r="738" customFormat="false" ht="14.25" hidden="true" customHeight="false" outlineLevel="0" collapsed="false">
      <c r="A738" s="1" t="n">
        <v>4</v>
      </c>
      <c r="B738" s="1" t="s">
        <v>82</v>
      </c>
      <c r="C738" s="1" t="s">
        <v>325</v>
      </c>
      <c r="D738" s="23" t="s">
        <v>205</v>
      </c>
      <c r="E738" s="1" t="s">
        <v>206</v>
      </c>
      <c r="F738" s="1" t="s">
        <v>138</v>
      </c>
      <c r="G738" s="21" t="n">
        <f aca="false">ROUND(K738/PI(),0)</f>
        <v>5</v>
      </c>
      <c r="H738" s="1" t="n">
        <v>4</v>
      </c>
      <c r="I738" s="1" t="s">
        <v>129</v>
      </c>
      <c r="J738" s="1" t="s">
        <v>149</v>
      </c>
      <c r="K738" s="1" t="n">
        <v>15</v>
      </c>
    </row>
    <row r="739" customFormat="false" ht="14.25" hidden="true" customHeight="false" outlineLevel="0" collapsed="false">
      <c r="A739" s="1" t="n">
        <v>4</v>
      </c>
      <c r="B739" s="1" t="s">
        <v>82</v>
      </c>
      <c r="C739" s="1" t="s">
        <v>325</v>
      </c>
      <c r="D739" s="23" t="s">
        <v>205</v>
      </c>
      <c r="E739" s="1" t="s">
        <v>206</v>
      </c>
      <c r="F739" s="1" t="s">
        <v>138</v>
      </c>
      <c r="G739" s="21" t="n">
        <f aca="false">ROUND(K739/PI(),0)</f>
        <v>4</v>
      </c>
      <c r="H739" s="1" t="n">
        <v>4</v>
      </c>
      <c r="I739" s="1" t="s">
        <v>129</v>
      </c>
      <c r="J739" s="1" t="s">
        <v>149</v>
      </c>
      <c r="K739" s="1" t="n">
        <v>13</v>
      </c>
    </row>
    <row r="740" customFormat="false" ht="14.25" hidden="true" customHeight="false" outlineLevel="0" collapsed="false">
      <c r="A740" s="1" t="n">
        <v>4</v>
      </c>
      <c r="B740" s="1" t="s">
        <v>82</v>
      </c>
      <c r="C740" s="1" t="s">
        <v>325</v>
      </c>
      <c r="D740" s="23" t="s">
        <v>205</v>
      </c>
      <c r="E740" s="1" t="s">
        <v>206</v>
      </c>
      <c r="F740" s="1" t="s">
        <v>138</v>
      </c>
      <c r="G740" s="21" t="n">
        <f aca="false">ROUND(K740/PI(),0)</f>
        <v>8</v>
      </c>
      <c r="H740" s="1" t="n">
        <v>5</v>
      </c>
      <c r="I740" s="1" t="s">
        <v>129</v>
      </c>
      <c r="J740" s="1" t="s">
        <v>149</v>
      </c>
      <c r="K740" s="1" t="n">
        <v>24</v>
      </c>
    </row>
    <row r="741" customFormat="false" ht="14.25" hidden="true" customHeight="false" outlineLevel="0" collapsed="false">
      <c r="A741" s="1" t="n">
        <v>4</v>
      </c>
      <c r="B741" s="1" t="s">
        <v>82</v>
      </c>
      <c r="C741" s="1" t="s">
        <v>325</v>
      </c>
      <c r="D741" s="23" t="s">
        <v>205</v>
      </c>
      <c r="E741" s="1" t="s">
        <v>206</v>
      </c>
      <c r="F741" s="1" t="s">
        <v>138</v>
      </c>
      <c r="G741" s="21" t="n">
        <f aca="false">ROUND(K741/PI(),0)</f>
        <v>10</v>
      </c>
      <c r="H741" s="1" t="n">
        <v>6</v>
      </c>
      <c r="I741" s="1" t="s">
        <v>129</v>
      </c>
      <c r="J741" s="1" t="s">
        <v>149</v>
      </c>
      <c r="K741" s="1" t="n">
        <v>30</v>
      </c>
    </row>
    <row r="742" customFormat="false" ht="14.25" hidden="true" customHeight="false" outlineLevel="0" collapsed="false">
      <c r="A742" s="1" t="n">
        <v>10</v>
      </c>
      <c r="B742" s="1" t="s">
        <v>82</v>
      </c>
      <c r="C742" s="1" t="s">
        <v>326</v>
      </c>
      <c r="D742" s="23" t="s">
        <v>327</v>
      </c>
      <c r="E742" s="1" t="s">
        <v>328</v>
      </c>
      <c r="F742" s="2" t="s">
        <v>120</v>
      </c>
      <c r="G742" s="21" t="n">
        <f aca="false">K742/3.1416</f>
        <v>58.2505729564553</v>
      </c>
      <c r="H742" s="1" t="n">
        <v>25</v>
      </c>
      <c r="I742" s="2" t="s">
        <v>127</v>
      </c>
      <c r="J742" s="1" t="s">
        <v>149</v>
      </c>
      <c r="K742" s="1" t="n">
        <v>183</v>
      </c>
    </row>
    <row r="743" customFormat="false" ht="14.25" hidden="true" customHeight="false" outlineLevel="0" collapsed="false">
      <c r="A743" s="1" t="n">
        <v>12</v>
      </c>
      <c r="B743" s="1" t="s">
        <v>128</v>
      </c>
      <c r="C743" s="1" t="s">
        <v>326</v>
      </c>
      <c r="D743" s="23" t="s">
        <v>327</v>
      </c>
      <c r="E743" s="1" t="s">
        <v>328</v>
      </c>
      <c r="F743" s="1" t="s">
        <v>120</v>
      </c>
      <c r="G743" s="21" t="n">
        <f aca="false">K743/3.1416</f>
        <v>2.54647313470843</v>
      </c>
      <c r="H743" s="1" t="n">
        <v>3</v>
      </c>
      <c r="I743" s="1" t="s">
        <v>129</v>
      </c>
      <c r="J743" s="1" t="s">
        <v>149</v>
      </c>
      <c r="K743" s="1" t="n">
        <v>8</v>
      </c>
    </row>
    <row r="744" customFormat="false" ht="14.25" hidden="true" customHeight="false" outlineLevel="0" collapsed="false">
      <c r="A744" s="1" t="n">
        <v>14</v>
      </c>
      <c r="B744" s="1" t="s">
        <v>131</v>
      </c>
      <c r="C744" s="1" t="s">
        <v>326</v>
      </c>
      <c r="D744" s="23" t="s">
        <v>327</v>
      </c>
      <c r="E744" s="1" t="s">
        <v>328</v>
      </c>
      <c r="F744" s="1" t="s">
        <v>120</v>
      </c>
      <c r="G744" s="21" t="n">
        <f aca="false">K744/3.1416</f>
        <v>6.36618283677107</v>
      </c>
      <c r="H744" s="1" t="n">
        <v>8</v>
      </c>
      <c r="I744" s="1" t="s">
        <v>129</v>
      </c>
      <c r="J744" s="1" t="s">
        <v>149</v>
      </c>
      <c r="K744" s="1" t="n">
        <v>20</v>
      </c>
    </row>
    <row r="745" customFormat="false" ht="14.25" hidden="true" customHeight="false" outlineLevel="0" collapsed="false">
      <c r="A745" s="1" t="n">
        <v>16</v>
      </c>
      <c r="B745" s="1" t="s">
        <v>131</v>
      </c>
      <c r="C745" s="1" t="s">
        <v>326</v>
      </c>
      <c r="D745" s="23" t="s">
        <v>327</v>
      </c>
      <c r="E745" s="1" t="s">
        <v>328</v>
      </c>
      <c r="F745" s="1" t="s">
        <v>120</v>
      </c>
      <c r="G745" s="21" t="n">
        <f aca="false">K745/3.1416</f>
        <v>31.8309141838554</v>
      </c>
      <c r="H745" s="1" t="n">
        <v>20</v>
      </c>
      <c r="I745" s="1" t="s">
        <v>129</v>
      </c>
      <c r="J745" s="1" t="s">
        <v>149</v>
      </c>
      <c r="K745" s="1" t="n">
        <v>100</v>
      </c>
    </row>
    <row r="746" customFormat="false" ht="14.25" hidden="true" customHeight="false" outlineLevel="0" collapsed="false">
      <c r="A746" s="1" t="n">
        <v>25</v>
      </c>
      <c r="B746" s="1" t="s">
        <v>135</v>
      </c>
      <c r="C746" s="1" t="s">
        <v>326</v>
      </c>
      <c r="D746" s="23" t="s">
        <v>327</v>
      </c>
      <c r="E746" s="1" t="s">
        <v>328</v>
      </c>
      <c r="F746" s="1" t="s">
        <v>120</v>
      </c>
      <c r="G746" s="21" t="n">
        <f aca="false">K746/3.1416</f>
        <v>43.9266615737204</v>
      </c>
      <c r="H746" s="1" t="n">
        <v>15</v>
      </c>
      <c r="I746" s="1" t="s">
        <v>127</v>
      </c>
      <c r="J746" s="1" t="s">
        <v>149</v>
      </c>
      <c r="K746" s="1" t="n">
        <v>138</v>
      </c>
    </row>
    <row r="747" customFormat="false" ht="14.25" hidden="true" customHeight="false" outlineLevel="0" collapsed="false">
      <c r="A747" s="1" t="n">
        <v>26</v>
      </c>
      <c r="B747" s="1" t="s">
        <v>135</v>
      </c>
      <c r="C747" s="1" t="s">
        <v>326</v>
      </c>
      <c r="D747" s="23" t="s">
        <v>327</v>
      </c>
      <c r="E747" s="1" t="s">
        <v>328</v>
      </c>
      <c r="F747" s="1" t="s">
        <v>120</v>
      </c>
      <c r="G747" s="21" t="n">
        <f aca="false">K747/3.1416</f>
        <v>16.5520753756048</v>
      </c>
      <c r="H747" s="1" t="n">
        <v>10</v>
      </c>
      <c r="I747" s="1" t="s">
        <v>234</v>
      </c>
      <c r="J747" s="1" t="s">
        <v>149</v>
      </c>
      <c r="K747" s="1" t="n">
        <v>52</v>
      </c>
    </row>
    <row r="748" customFormat="false" ht="14.25" hidden="true" customHeight="false" outlineLevel="0" collapsed="false">
      <c r="A748" s="1" t="n">
        <v>26</v>
      </c>
      <c r="B748" s="1" t="s">
        <v>135</v>
      </c>
      <c r="C748" s="1" t="s">
        <v>326</v>
      </c>
      <c r="D748" s="23" t="s">
        <v>327</v>
      </c>
      <c r="E748" s="1" t="s">
        <v>328</v>
      </c>
      <c r="F748" s="1" t="s">
        <v>120</v>
      </c>
      <c r="G748" s="21" t="n">
        <f aca="false">K748/3.1416</f>
        <v>47.1097529921059</v>
      </c>
      <c r="H748" s="1" t="n">
        <v>15</v>
      </c>
      <c r="I748" s="1" t="s">
        <v>129</v>
      </c>
      <c r="J748" s="1" t="s">
        <v>149</v>
      </c>
      <c r="K748" s="1" t="n">
        <v>148</v>
      </c>
    </row>
    <row r="749" customFormat="false" ht="14.25" hidden="true" customHeight="false" outlineLevel="0" collapsed="false">
      <c r="A749" s="1" t="n">
        <v>29</v>
      </c>
      <c r="B749" s="1" t="s">
        <v>131</v>
      </c>
      <c r="C749" s="1" t="s">
        <v>326</v>
      </c>
      <c r="D749" s="23" t="s">
        <v>327</v>
      </c>
      <c r="E749" s="1" t="s">
        <v>328</v>
      </c>
      <c r="F749" s="1" t="s">
        <v>120</v>
      </c>
      <c r="G749" s="21" t="n">
        <f aca="false">K749/3.1416</f>
        <v>54.1125541125541</v>
      </c>
      <c r="H749" s="1" t="n">
        <v>20</v>
      </c>
      <c r="I749" s="1" t="s">
        <v>129</v>
      </c>
      <c r="J749" s="1" t="s">
        <v>149</v>
      </c>
      <c r="K749" s="1" t="n">
        <v>170</v>
      </c>
    </row>
    <row r="750" customFormat="false" ht="14.25" hidden="true" customHeight="false" outlineLevel="0" collapsed="false">
      <c r="A750" s="1" t="n">
        <v>30</v>
      </c>
      <c r="B750" s="1" t="s">
        <v>131</v>
      </c>
      <c r="C750" s="1" t="s">
        <v>326</v>
      </c>
      <c r="D750" s="23" t="s">
        <v>327</v>
      </c>
      <c r="E750" s="1" t="s">
        <v>328</v>
      </c>
      <c r="F750" s="1" t="s">
        <v>120</v>
      </c>
      <c r="G750" s="21" t="n">
        <f aca="false">K750/3.1416</f>
        <v>73.2111026228673</v>
      </c>
      <c r="H750" s="1" t="n">
        <v>15</v>
      </c>
      <c r="I750" s="1" t="s">
        <v>129</v>
      </c>
      <c r="J750" s="1" t="s">
        <v>149</v>
      </c>
      <c r="K750" s="1" t="n">
        <v>230</v>
      </c>
    </row>
    <row r="751" customFormat="false" ht="14.25" hidden="true" customHeight="false" outlineLevel="0" collapsed="false">
      <c r="A751" s="1" t="n">
        <v>5</v>
      </c>
      <c r="B751" s="1" t="s">
        <v>122</v>
      </c>
      <c r="C751" s="1" t="s">
        <v>329</v>
      </c>
      <c r="D751" s="23" t="s">
        <v>192</v>
      </c>
      <c r="E751" s="1" t="s">
        <v>193</v>
      </c>
      <c r="F751" s="1" t="s">
        <v>120</v>
      </c>
      <c r="G751" s="21" t="n">
        <f aca="false">K751/3.1416</f>
        <v>7.00280112044818</v>
      </c>
      <c r="H751" s="1" t="n">
        <v>0</v>
      </c>
      <c r="I751" s="2" t="s">
        <v>74</v>
      </c>
      <c r="J751" s="1" t="s">
        <v>149</v>
      </c>
      <c r="K751" s="1" t="n">
        <v>22</v>
      </c>
    </row>
    <row r="752" customFormat="false" ht="14.25" hidden="true" customHeight="false" outlineLevel="0" collapsed="false">
      <c r="A752" s="1" t="n">
        <v>15</v>
      </c>
      <c r="B752" s="1" t="s">
        <v>131</v>
      </c>
      <c r="C752" s="1" t="s">
        <v>329</v>
      </c>
      <c r="D752" s="23"/>
      <c r="G752" s="21" t="n">
        <f aca="false">K752/3.1416</f>
        <v>19.0985485103132</v>
      </c>
      <c r="H752" s="1" t="n">
        <v>20</v>
      </c>
      <c r="I752" s="1" t="s">
        <v>129</v>
      </c>
      <c r="J752" s="1" t="s">
        <v>149</v>
      </c>
      <c r="K752" s="1" t="n">
        <v>60</v>
      </c>
    </row>
    <row r="753" customFormat="false" ht="14.25" hidden="true" customHeight="false" outlineLevel="0" collapsed="false">
      <c r="A753" s="1" t="n">
        <v>20</v>
      </c>
      <c r="B753" s="1" t="s">
        <v>128</v>
      </c>
      <c r="C753" s="1" t="s">
        <v>329</v>
      </c>
      <c r="D753" s="23"/>
      <c r="G753" s="21" t="n">
        <f aca="false">K753/3.1416</f>
        <v>14.3239113827349</v>
      </c>
      <c r="H753" s="1" t="n">
        <v>10</v>
      </c>
      <c r="I753" s="1" t="s">
        <v>129</v>
      </c>
      <c r="J753" s="1" t="s">
        <v>149</v>
      </c>
      <c r="K753" s="1" t="n">
        <v>45</v>
      </c>
    </row>
    <row r="754" customFormat="false" ht="14.25" hidden="true" customHeight="false" outlineLevel="0" collapsed="false">
      <c r="A754" s="1" t="n">
        <v>25</v>
      </c>
      <c r="B754" s="1" t="s">
        <v>135</v>
      </c>
      <c r="C754" s="1" t="s">
        <v>329</v>
      </c>
      <c r="D754" s="23" t="s">
        <v>276</v>
      </c>
      <c r="E754" s="1" t="s">
        <v>165</v>
      </c>
      <c r="F754" s="1" t="s">
        <v>120</v>
      </c>
      <c r="G754" s="21" t="n">
        <f aca="false">K754/3.1416</f>
        <v>2.54647313470843</v>
      </c>
      <c r="H754" s="1" t="n">
        <v>3</v>
      </c>
      <c r="I754" s="1" t="s">
        <v>127</v>
      </c>
      <c r="J754" s="1" t="s">
        <v>149</v>
      </c>
      <c r="K754" s="1" t="n">
        <v>8</v>
      </c>
    </row>
    <row r="755" customFormat="false" ht="14.25" hidden="true" customHeight="false" outlineLevel="0" collapsed="false">
      <c r="A755" s="1" t="n">
        <v>25</v>
      </c>
      <c r="B755" s="1" t="s">
        <v>135</v>
      </c>
      <c r="C755" s="1" t="s">
        <v>329</v>
      </c>
      <c r="D755" s="23" t="s">
        <v>276</v>
      </c>
      <c r="E755" s="1" t="s">
        <v>165</v>
      </c>
      <c r="F755" s="1" t="s">
        <v>120</v>
      </c>
      <c r="G755" s="21" t="n">
        <f aca="false">K755/3.1416</f>
        <v>2.86478227654698</v>
      </c>
      <c r="H755" s="1" t="n">
        <v>4</v>
      </c>
      <c r="I755" s="1" t="s">
        <v>129</v>
      </c>
      <c r="J755" s="1" t="s">
        <v>149</v>
      </c>
      <c r="K755" s="1" t="n">
        <v>9</v>
      </c>
    </row>
    <row r="756" customFormat="false" ht="14.25" hidden="true" customHeight="false" outlineLevel="0" collapsed="false">
      <c r="A756" s="1" t="n">
        <v>26</v>
      </c>
      <c r="B756" s="1" t="s">
        <v>135</v>
      </c>
      <c r="C756" s="1" t="s">
        <v>329</v>
      </c>
      <c r="D756" s="23"/>
      <c r="E756" s="1" t="s">
        <v>156</v>
      </c>
      <c r="F756" s="1" t="s">
        <v>120</v>
      </c>
      <c r="G756" s="21" t="n">
        <f aca="false">K756/3.1416</f>
        <v>5.09294626941686</v>
      </c>
      <c r="H756" s="1" t="n">
        <v>6</v>
      </c>
      <c r="I756" s="1" t="s">
        <v>129</v>
      </c>
      <c r="J756" s="1" t="s">
        <v>149</v>
      </c>
      <c r="K756" s="1" t="n">
        <v>16</v>
      </c>
    </row>
    <row r="757" customFormat="false" ht="14.25" hidden="true" customHeight="false" outlineLevel="0" collapsed="false">
      <c r="A757" s="1" t="n">
        <v>26</v>
      </c>
      <c r="B757" s="1" t="s">
        <v>135</v>
      </c>
      <c r="C757" s="1" t="s">
        <v>329</v>
      </c>
      <c r="D757" s="23"/>
      <c r="G757" s="21" t="n">
        <f aca="false">K757/3.1416</f>
        <v>3.18309141838554</v>
      </c>
      <c r="H757" s="1" t="n">
        <v>7</v>
      </c>
      <c r="I757" s="1" t="s">
        <v>127</v>
      </c>
      <c r="J757" s="1" t="s">
        <v>149</v>
      </c>
      <c r="K757" s="1" t="n">
        <v>10</v>
      </c>
    </row>
    <row r="758" customFormat="false" ht="14.25" hidden="true" customHeight="false" outlineLevel="0" collapsed="false">
      <c r="A758" s="1" t="n">
        <v>27</v>
      </c>
      <c r="B758" s="1" t="s">
        <v>82</v>
      </c>
      <c r="C758" s="1" t="s">
        <v>329</v>
      </c>
      <c r="D758" s="23"/>
      <c r="G758" s="21" t="n">
        <f aca="false">K758/3.1416</f>
        <v>5.72956455309397</v>
      </c>
      <c r="H758" s="1" t="n">
        <v>9</v>
      </c>
      <c r="I758" s="1" t="s">
        <v>129</v>
      </c>
      <c r="J758" s="1" t="s">
        <v>149</v>
      </c>
      <c r="K758" s="1" t="n">
        <v>18</v>
      </c>
    </row>
    <row r="759" customFormat="false" ht="14.25" hidden="true" customHeight="false" outlineLevel="0" collapsed="false">
      <c r="A759" s="1" t="n">
        <v>31</v>
      </c>
      <c r="B759" s="1" t="s">
        <v>131</v>
      </c>
      <c r="C759" s="1" t="s">
        <v>329</v>
      </c>
      <c r="D759" s="23"/>
      <c r="G759" s="21" t="n">
        <f aca="false">K759/3.1416</f>
        <v>4.1380188439012</v>
      </c>
      <c r="H759" s="1" t="n">
        <v>7</v>
      </c>
      <c r="I759" s="1" t="s">
        <v>129</v>
      </c>
      <c r="J759" s="1" t="s">
        <v>149</v>
      </c>
      <c r="K759" s="1" t="n">
        <v>13</v>
      </c>
    </row>
    <row r="760" customFormat="false" ht="14.25" hidden="true" customHeight="false" outlineLevel="0" collapsed="false">
      <c r="A760" s="1" t="n">
        <v>3</v>
      </c>
      <c r="B760" s="1" t="s">
        <v>82</v>
      </c>
      <c r="C760" s="1" t="s">
        <v>329</v>
      </c>
      <c r="D760" s="23"/>
      <c r="E760" s="1" t="s">
        <v>157</v>
      </c>
      <c r="F760" s="1" t="s">
        <v>120</v>
      </c>
      <c r="G760" s="21" t="n">
        <f aca="false">ROUND(K760/PI(),0)</f>
        <v>4</v>
      </c>
      <c r="H760" s="1" t="n">
        <v>6</v>
      </c>
      <c r="I760" s="1" t="s">
        <v>129</v>
      </c>
      <c r="J760" s="1" t="s">
        <v>162</v>
      </c>
      <c r="K760" s="1" t="n">
        <v>12</v>
      </c>
    </row>
    <row r="761" customFormat="false" ht="14.25" hidden="true" customHeight="false" outlineLevel="0" collapsed="false">
      <c r="A761" s="1" t="n">
        <v>3</v>
      </c>
      <c r="B761" s="1" t="s">
        <v>82</v>
      </c>
      <c r="C761" s="1" t="s">
        <v>329</v>
      </c>
      <c r="D761" s="23"/>
      <c r="G761" s="21" t="n">
        <f aca="false">ROUND(K761/PI(),0)</f>
        <v>7</v>
      </c>
      <c r="H761" s="1" t="n">
        <v>6</v>
      </c>
      <c r="I761" s="1" t="s">
        <v>129</v>
      </c>
      <c r="J761" s="1" t="s">
        <v>162</v>
      </c>
      <c r="K761" s="1" t="n">
        <v>22</v>
      </c>
    </row>
    <row r="762" customFormat="false" ht="14.25" hidden="true" customHeight="false" outlineLevel="0" collapsed="false">
      <c r="A762" s="1" t="n">
        <v>6</v>
      </c>
      <c r="B762" s="1" t="s">
        <v>92</v>
      </c>
      <c r="C762" s="1" t="s">
        <v>329</v>
      </c>
      <c r="D762" s="23"/>
      <c r="G762" s="21" t="n">
        <f aca="false">ROUND(K762/PI(),0)</f>
        <v>6</v>
      </c>
      <c r="H762" s="1" t="n">
        <v>7</v>
      </c>
      <c r="I762" s="1" t="s">
        <v>129</v>
      </c>
      <c r="J762" s="1" t="s">
        <v>227</v>
      </c>
      <c r="K762" s="1" t="n">
        <v>20</v>
      </c>
    </row>
    <row r="763" customFormat="false" ht="14.25" hidden="true" customHeight="false" outlineLevel="0" collapsed="false">
      <c r="A763" s="1" t="n">
        <v>7</v>
      </c>
      <c r="B763" s="1" t="s">
        <v>101</v>
      </c>
      <c r="C763" s="1" t="s">
        <v>329</v>
      </c>
      <c r="D763" s="23" t="s">
        <v>225</v>
      </c>
      <c r="E763" s="1" t="s">
        <v>186</v>
      </c>
      <c r="F763" s="1" t="s">
        <v>138</v>
      </c>
      <c r="G763" s="21" t="n">
        <f aca="false">ROUND(K763/PI(),0)</f>
        <v>5</v>
      </c>
      <c r="H763" s="1" t="n">
        <v>7</v>
      </c>
      <c r="I763" s="1" t="s">
        <v>129</v>
      </c>
      <c r="J763" s="1" t="s">
        <v>149</v>
      </c>
      <c r="K763" s="1" t="n">
        <v>17</v>
      </c>
    </row>
    <row r="764" customFormat="false" ht="14.25" hidden="true" customHeight="false" outlineLevel="0" collapsed="false">
      <c r="A764" s="1" t="n">
        <v>7</v>
      </c>
      <c r="B764" s="1" t="s">
        <v>101</v>
      </c>
      <c r="C764" s="1" t="s">
        <v>329</v>
      </c>
      <c r="D764" s="23" t="s">
        <v>225</v>
      </c>
      <c r="E764" s="1" t="s">
        <v>186</v>
      </c>
      <c r="F764" s="1" t="s">
        <v>138</v>
      </c>
      <c r="G764" s="21" t="n">
        <f aca="false">ROUND(K764/PI(),0)</f>
        <v>5</v>
      </c>
      <c r="H764" s="1" t="n">
        <v>7</v>
      </c>
      <c r="I764" s="1" t="s">
        <v>129</v>
      </c>
      <c r="J764" s="1" t="s">
        <v>149</v>
      </c>
      <c r="K764" s="1" t="n">
        <v>16</v>
      </c>
    </row>
    <row r="765" customFormat="false" ht="14.25" hidden="true" customHeight="false" outlineLevel="0" collapsed="false">
      <c r="A765" s="1" t="n">
        <v>7</v>
      </c>
      <c r="B765" s="1" t="s">
        <v>101</v>
      </c>
      <c r="C765" s="1" t="s">
        <v>329</v>
      </c>
      <c r="D765" s="23" t="s">
        <v>225</v>
      </c>
      <c r="E765" s="1" t="s">
        <v>186</v>
      </c>
      <c r="F765" s="1" t="s">
        <v>138</v>
      </c>
      <c r="G765" s="21" t="n">
        <f aca="false">ROUND(K765/PI(),0)</f>
        <v>4</v>
      </c>
      <c r="H765" s="1" t="n">
        <v>8</v>
      </c>
      <c r="I765" s="1" t="s">
        <v>129</v>
      </c>
      <c r="J765" s="1" t="s">
        <v>149</v>
      </c>
      <c r="K765" s="1" t="n">
        <v>14</v>
      </c>
    </row>
    <row r="766" customFormat="false" ht="14.25" hidden="true" customHeight="false" outlineLevel="0" collapsed="false">
      <c r="A766" s="1" t="n">
        <v>8</v>
      </c>
      <c r="B766" s="1" t="s">
        <v>101</v>
      </c>
      <c r="C766" s="1" t="s">
        <v>329</v>
      </c>
      <c r="D766" s="23"/>
      <c r="G766" s="21" t="n">
        <f aca="false">ROUND(K766/PI(),0)</f>
        <v>3</v>
      </c>
      <c r="H766" s="1" t="n">
        <v>6</v>
      </c>
      <c r="I766" s="1" t="s">
        <v>129</v>
      </c>
      <c r="J766" s="1" t="s">
        <v>149</v>
      </c>
      <c r="K766" s="1" t="n">
        <v>9</v>
      </c>
    </row>
    <row r="767" customFormat="false" ht="14.25" hidden="true" customHeight="false" outlineLevel="0" collapsed="false">
      <c r="A767" s="1" t="n">
        <v>5</v>
      </c>
      <c r="B767" s="1" t="s">
        <v>92</v>
      </c>
      <c r="C767" s="1" t="s">
        <v>330</v>
      </c>
      <c r="D767" s="23" t="s">
        <v>154</v>
      </c>
      <c r="E767" s="1" t="s">
        <v>155</v>
      </c>
      <c r="F767" s="1" t="s">
        <v>120</v>
      </c>
      <c r="G767" s="21" t="n">
        <f aca="false">ROUND(K767/PI(),0)</f>
        <v>4</v>
      </c>
      <c r="H767" s="1" t="n">
        <v>7</v>
      </c>
      <c r="I767" s="1" t="s">
        <v>129</v>
      </c>
      <c r="J767" s="1" t="s">
        <v>149</v>
      </c>
      <c r="K767" s="1" t="n">
        <v>11</v>
      </c>
    </row>
    <row r="768" customFormat="false" ht="14.25" hidden="true" customHeight="false" outlineLevel="0" collapsed="false">
      <c r="A768" s="1" t="n">
        <v>6</v>
      </c>
      <c r="B768" s="1" t="s">
        <v>92</v>
      </c>
      <c r="C768" s="1" t="s">
        <v>330</v>
      </c>
      <c r="D768" s="23"/>
      <c r="G768" s="21" t="n">
        <f aca="false">ROUND(K768/PI(),0)</f>
        <v>3</v>
      </c>
      <c r="H768" s="1" t="n">
        <v>6</v>
      </c>
      <c r="I768" s="1" t="s">
        <v>129</v>
      </c>
      <c r="J768" s="1" t="s">
        <v>162</v>
      </c>
      <c r="K768" s="1" t="n">
        <v>9</v>
      </c>
    </row>
    <row r="769" customFormat="false" ht="14.25" hidden="true" customHeight="false" outlineLevel="0" collapsed="false">
      <c r="A769" s="1" t="n">
        <v>17</v>
      </c>
      <c r="B769" s="1" t="s">
        <v>128</v>
      </c>
      <c r="C769" s="1" t="s">
        <v>331</v>
      </c>
      <c r="D769" s="23" t="s">
        <v>216</v>
      </c>
      <c r="E769" s="1" t="s">
        <v>203</v>
      </c>
      <c r="F769" s="1" t="s">
        <v>138</v>
      </c>
      <c r="G769" s="21" t="n">
        <f aca="false">K769/3.1416</f>
        <v>3.18309141838554</v>
      </c>
      <c r="H769" s="1" t="n">
        <v>3</v>
      </c>
      <c r="I769" s="1" t="s">
        <v>127</v>
      </c>
      <c r="J769" s="1" t="s">
        <v>130</v>
      </c>
      <c r="K769" s="1" t="n">
        <v>10</v>
      </c>
    </row>
    <row r="770" customFormat="false" ht="14.25" hidden="true" customHeight="false" outlineLevel="0" collapsed="false">
      <c r="A770" s="1" t="n">
        <v>18</v>
      </c>
      <c r="B770" s="1" t="s">
        <v>128</v>
      </c>
      <c r="C770" s="1" t="s">
        <v>331</v>
      </c>
      <c r="D770" s="23" t="s">
        <v>287</v>
      </c>
      <c r="E770" s="1" t="s">
        <v>157</v>
      </c>
      <c r="F770" s="1" t="s">
        <v>138</v>
      </c>
      <c r="G770" s="21" t="n">
        <f aca="false">K770/3.1416</f>
        <v>3.18309141838554</v>
      </c>
      <c r="H770" s="1" t="n">
        <v>4</v>
      </c>
      <c r="I770" s="1" t="s">
        <v>129</v>
      </c>
      <c r="J770" s="1" t="s">
        <v>130</v>
      </c>
      <c r="K770" s="1" t="n">
        <v>10</v>
      </c>
    </row>
    <row r="771" customFormat="false" ht="14.25" hidden="true" customHeight="false" outlineLevel="0" collapsed="false">
      <c r="A771" s="1" t="n">
        <v>21</v>
      </c>
      <c r="B771" s="1" t="s">
        <v>135</v>
      </c>
      <c r="C771" s="1" t="s">
        <v>331</v>
      </c>
      <c r="D771" s="23" t="s">
        <v>202</v>
      </c>
      <c r="E771" s="1" t="s">
        <v>203</v>
      </c>
      <c r="F771" s="1" t="s">
        <v>120</v>
      </c>
      <c r="G771" s="21" t="n">
        <f aca="false">K771/3.1416</f>
        <v>3.18309141838554</v>
      </c>
      <c r="H771" s="1" t="n">
        <v>3</v>
      </c>
      <c r="I771" s="1" t="s">
        <v>129</v>
      </c>
      <c r="J771" s="1" t="s">
        <v>130</v>
      </c>
      <c r="K771" s="1" t="n">
        <v>10</v>
      </c>
    </row>
    <row r="772" customFormat="false" ht="14.25" hidden="true" customHeight="false" outlineLevel="0" collapsed="false">
      <c r="A772" s="1" t="n">
        <v>21</v>
      </c>
      <c r="B772" s="1" t="s">
        <v>135</v>
      </c>
      <c r="C772" s="1" t="s">
        <v>331</v>
      </c>
      <c r="D772" s="23" t="s">
        <v>202</v>
      </c>
      <c r="E772" s="1" t="s">
        <v>203</v>
      </c>
      <c r="F772" s="1" t="s">
        <v>120</v>
      </c>
      <c r="G772" s="21" t="n">
        <f aca="false">K772/3.1416</f>
        <v>3.18309141838554</v>
      </c>
      <c r="H772" s="1" t="n">
        <v>3</v>
      </c>
      <c r="I772" s="1" t="s">
        <v>129</v>
      </c>
      <c r="J772" s="1" t="s">
        <v>130</v>
      </c>
      <c r="K772" s="1" t="n">
        <v>10</v>
      </c>
    </row>
    <row r="773" customFormat="false" ht="14.25" hidden="true" customHeight="false" outlineLevel="0" collapsed="false">
      <c r="A773" s="1" t="n">
        <v>23</v>
      </c>
      <c r="B773" s="1" t="s">
        <v>135</v>
      </c>
      <c r="C773" s="1" t="s">
        <v>331</v>
      </c>
      <c r="D773" s="23" t="s">
        <v>202</v>
      </c>
      <c r="E773" s="1" t="s">
        <v>203</v>
      </c>
      <c r="F773" s="1" t="s">
        <v>120</v>
      </c>
      <c r="G773" s="21" t="n">
        <f aca="false">K773/3.1416</f>
        <v>6.68449197860963</v>
      </c>
      <c r="H773" s="1" t="n">
        <v>7</v>
      </c>
      <c r="I773" s="1" t="s">
        <v>129</v>
      </c>
      <c r="J773" s="1" t="s">
        <v>130</v>
      </c>
      <c r="K773" s="1" t="n">
        <v>21</v>
      </c>
    </row>
    <row r="774" customFormat="false" ht="14.25" hidden="true" customHeight="false" outlineLevel="0" collapsed="false">
      <c r="A774" s="1" t="n">
        <v>23</v>
      </c>
      <c r="B774" s="1" t="s">
        <v>135</v>
      </c>
      <c r="C774" s="1" t="s">
        <v>331</v>
      </c>
      <c r="D774" s="23" t="s">
        <v>202</v>
      </c>
      <c r="E774" s="1" t="s">
        <v>203</v>
      </c>
      <c r="F774" s="1" t="s">
        <v>120</v>
      </c>
      <c r="G774" s="21" t="n">
        <f aca="false">K774/3.1416</f>
        <v>9.23096511331806</v>
      </c>
      <c r="H774" s="1" t="n">
        <v>10</v>
      </c>
      <c r="I774" s="1" t="s">
        <v>129</v>
      </c>
      <c r="J774" s="1" t="s">
        <v>130</v>
      </c>
      <c r="K774" s="1" t="n">
        <v>29</v>
      </c>
    </row>
    <row r="775" customFormat="false" ht="14.25" hidden="true" customHeight="false" outlineLevel="0" collapsed="false">
      <c r="A775" s="1" t="n">
        <v>24</v>
      </c>
      <c r="B775" s="1" t="s">
        <v>135</v>
      </c>
      <c r="C775" s="1" t="s">
        <v>331</v>
      </c>
      <c r="D775" s="23" t="s">
        <v>216</v>
      </c>
      <c r="E775" s="1" t="s">
        <v>203</v>
      </c>
      <c r="F775" s="1" t="s">
        <v>138</v>
      </c>
      <c r="G775" s="21" t="n">
        <f aca="false">K775/3.1416</f>
        <v>2.86478227654698</v>
      </c>
      <c r="H775" s="1" t="n">
        <v>4</v>
      </c>
      <c r="I775" s="1" t="s">
        <v>129</v>
      </c>
      <c r="J775" s="1" t="s">
        <v>130</v>
      </c>
      <c r="K775" s="1" t="n">
        <v>9</v>
      </c>
    </row>
    <row r="776" customFormat="false" ht="14.25" hidden="true" customHeight="false" outlineLevel="0" collapsed="false">
      <c r="A776" s="1" t="n">
        <v>25</v>
      </c>
      <c r="B776" s="1" t="s">
        <v>135</v>
      </c>
      <c r="C776" s="1" t="s">
        <v>331</v>
      </c>
      <c r="D776" s="23" t="s">
        <v>202</v>
      </c>
      <c r="E776" s="1" t="s">
        <v>203</v>
      </c>
      <c r="F776" s="1" t="s">
        <v>120</v>
      </c>
      <c r="G776" s="21" t="n">
        <f aca="false">K776/3.1416</f>
        <v>6.68449197860963</v>
      </c>
      <c r="H776" s="1" t="n">
        <v>8</v>
      </c>
      <c r="I776" s="1" t="s">
        <v>129</v>
      </c>
      <c r="J776" s="1" t="s">
        <v>130</v>
      </c>
      <c r="K776" s="1" t="n">
        <v>21</v>
      </c>
    </row>
    <row r="777" customFormat="false" ht="14.25" hidden="true" customHeight="false" outlineLevel="0" collapsed="false">
      <c r="A777" s="1" t="n">
        <v>26</v>
      </c>
      <c r="B777" s="1" t="s">
        <v>135</v>
      </c>
      <c r="C777" s="1" t="s">
        <v>331</v>
      </c>
      <c r="D777" s="23" t="s">
        <v>202</v>
      </c>
      <c r="E777" s="1" t="s">
        <v>203</v>
      </c>
      <c r="F777" s="1" t="s">
        <v>120</v>
      </c>
      <c r="G777" s="21" t="n">
        <f aca="false">K777/3.1416</f>
        <v>5.09294626941686</v>
      </c>
      <c r="H777" s="1" t="n">
        <v>6</v>
      </c>
      <c r="I777" s="1" t="s">
        <v>129</v>
      </c>
      <c r="J777" s="1" t="s">
        <v>130</v>
      </c>
      <c r="K777" s="1" t="n">
        <v>16</v>
      </c>
    </row>
    <row r="778" customFormat="false" ht="14.25" hidden="true" customHeight="false" outlineLevel="0" collapsed="false">
      <c r="A778" s="1" t="n">
        <v>26</v>
      </c>
      <c r="B778" s="1" t="s">
        <v>135</v>
      </c>
      <c r="C778" s="1" t="s">
        <v>331</v>
      </c>
      <c r="D778" s="23" t="s">
        <v>202</v>
      </c>
      <c r="E778" s="1" t="s">
        <v>203</v>
      </c>
      <c r="F778" s="1" t="s">
        <v>120</v>
      </c>
      <c r="G778" s="21" t="n">
        <f aca="false">K778/3.1416</f>
        <v>4.45632798573975</v>
      </c>
      <c r="H778" s="1" t="n">
        <v>7</v>
      </c>
      <c r="I778" s="1" t="s">
        <v>129</v>
      </c>
      <c r="J778" s="1" t="s">
        <v>130</v>
      </c>
      <c r="K778" s="1" t="n">
        <v>14</v>
      </c>
    </row>
    <row r="779" customFormat="false" ht="14.25" hidden="true" customHeight="false" outlineLevel="0" collapsed="false">
      <c r="A779" s="1" t="n">
        <v>26</v>
      </c>
      <c r="B779" s="1" t="s">
        <v>135</v>
      </c>
      <c r="C779" s="1" t="s">
        <v>331</v>
      </c>
      <c r="D779" s="23" t="s">
        <v>202</v>
      </c>
      <c r="E779" s="1" t="s">
        <v>203</v>
      </c>
      <c r="F779" s="1" t="s">
        <v>120</v>
      </c>
      <c r="G779" s="21" t="n">
        <f aca="false">K779/3.1416</f>
        <v>2.86478227654698</v>
      </c>
      <c r="H779" s="1" t="n">
        <v>5</v>
      </c>
      <c r="I779" s="1" t="s">
        <v>129</v>
      </c>
      <c r="J779" s="1" t="s">
        <v>130</v>
      </c>
      <c r="K779" s="1" t="n">
        <v>9</v>
      </c>
    </row>
    <row r="780" customFormat="false" ht="14.25" hidden="true" customHeight="false" outlineLevel="0" collapsed="false">
      <c r="A780" s="1" t="n">
        <v>26</v>
      </c>
      <c r="B780" s="1" t="s">
        <v>135</v>
      </c>
      <c r="C780" s="1" t="s">
        <v>331</v>
      </c>
      <c r="D780" s="23" t="s">
        <v>202</v>
      </c>
      <c r="E780" s="1" t="s">
        <v>203</v>
      </c>
      <c r="F780" s="1" t="s">
        <v>120</v>
      </c>
      <c r="G780" s="21" t="n">
        <f aca="false">K780/3.1416</f>
        <v>4.1380188439012</v>
      </c>
      <c r="H780" s="1" t="n">
        <v>7</v>
      </c>
      <c r="I780" s="1" t="s">
        <v>129</v>
      </c>
      <c r="J780" s="1" t="s">
        <v>130</v>
      </c>
      <c r="K780" s="1" t="n">
        <v>13</v>
      </c>
    </row>
    <row r="781" customFormat="false" ht="14.25" hidden="true" customHeight="false" outlineLevel="0" collapsed="false">
      <c r="A781" s="1" t="n">
        <v>26</v>
      </c>
      <c r="B781" s="1" t="s">
        <v>135</v>
      </c>
      <c r="C781" s="1" t="s">
        <v>331</v>
      </c>
      <c r="D781" s="23" t="s">
        <v>202</v>
      </c>
      <c r="E781" s="1" t="s">
        <v>203</v>
      </c>
      <c r="F781" s="1" t="s">
        <v>120</v>
      </c>
      <c r="G781" s="21" t="n">
        <f aca="false">K781/3.1416</f>
        <v>2.54647313470843</v>
      </c>
      <c r="H781" s="1" t="n">
        <v>2</v>
      </c>
      <c r="I781" s="1" t="s">
        <v>127</v>
      </c>
      <c r="J781" s="1" t="s">
        <v>130</v>
      </c>
      <c r="K781" s="1" t="n">
        <v>8</v>
      </c>
    </row>
    <row r="782" customFormat="false" ht="14.25" hidden="true" customHeight="false" outlineLevel="0" collapsed="false">
      <c r="A782" s="1" t="n">
        <v>30</v>
      </c>
      <c r="B782" s="1" t="s">
        <v>131</v>
      </c>
      <c r="C782" s="1" t="s">
        <v>331</v>
      </c>
      <c r="D782" s="23" t="s">
        <v>202</v>
      </c>
      <c r="E782" s="1" t="s">
        <v>203</v>
      </c>
      <c r="F782" s="1" t="s">
        <v>120</v>
      </c>
      <c r="G782" s="21" t="n">
        <f aca="false">K782/3.1416</f>
        <v>8.27603768780239</v>
      </c>
      <c r="H782" s="1" t="n">
        <v>8</v>
      </c>
      <c r="I782" s="1" t="s">
        <v>129</v>
      </c>
      <c r="J782" s="1" t="s">
        <v>130</v>
      </c>
      <c r="K782" s="1" t="n">
        <v>26</v>
      </c>
    </row>
    <row r="783" customFormat="false" ht="14.25" hidden="true" customHeight="false" outlineLevel="0" collapsed="false">
      <c r="A783" s="1" t="n">
        <v>30</v>
      </c>
      <c r="B783" s="1" t="s">
        <v>131</v>
      </c>
      <c r="C783" s="1" t="s">
        <v>331</v>
      </c>
      <c r="D783" s="23" t="s">
        <v>202</v>
      </c>
      <c r="E783" s="1" t="s">
        <v>203</v>
      </c>
      <c r="F783" s="1" t="s">
        <v>120</v>
      </c>
      <c r="G783" s="21" t="n">
        <f aca="false">K783/3.1416</f>
        <v>2.54647313470843</v>
      </c>
      <c r="H783" s="1" t="n">
        <v>2</v>
      </c>
      <c r="I783" s="1" t="s">
        <v>127</v>
      </c>
      <c r="J783" s="1" t="s">
        <v>130</v>
      </c>
      <c r="K783" s="1" t="n">
        <v>8</v>
      </c>
    </row>
    <row r="784" customFormat="false" ht="14.25" hidden="true" customHeight="false" outlineLevel="0" collapsed="false">
      <c r="A784" s="1" t="n">
        <v>31</v>
      </c>
      <c r="B784" s="1" t="s">
        <v>131</v>
      </c>
      <c r="C784" s="1" t="s">
        <v>331</v>
      </c>
      <c r="D784" s="23" t="s">
        <v>202</v>
      </c>
      <c r="E784" s="1" t="s">
        <v>203</v>
      </c>
      <c r="F784" s="1" t="s">
        <v>120</v>
      </c>
      <c r="G784" s="21" t="n">
        <f aca="false">K784/3.1416</f>
        <v>4.45632798573975</v>
      </c>
      <c r="H784" s="1" t="n">
        <v>7</v>
      </c>
      <c r="I784" s="1" t="s">
        <v>129</v>
      </c>
      <c r="J784" s="1" t="s">
        <v>130</v>
      </c>
      <c r="K784" s="1" t="n">
        <v>14</v>
      </c>
    </row>
    <row r="785" customFormat="false" ht="14.25" hidden="true" customHeight="false" outlineLevel="0" collapsed="false">
      <c r="A785" s="1" t="n">
        <v>31</v>
      </c>
      <c r="B785" s="1" t="s">
        <v>131</v>
      </c>
      <c r="C785" s="1" t="s">
        <v>331</v>
      </c>
      <c r="D785" s="23" t="s">
        <v>202</v>
      </c>
      <c r="E785" s="1" t="s">
        <v>203</v>
      </c>
      <c r="F785" s="1" t="s">
        <v>120</v>
      </c>
      <c r="G785" s="21" t="n">
        <f aca="false">K785/3.1416</f>
        <v>2.54647313470843</v>
      </c>
      <c r="H785" s="1" t="n">
        <v>4</v>
      </c>
      <c r="I785" s="1" t="s">
        <v>129</v>
      </c>
      <c r="J785" s="1" t="s">
        <v>130</v>
      </c>
      <c r="K785" s="1" t="n">
        <v>8</v>
      </c>
    </row>
    <row r="786" customFormat="false" ht="14.25" hidden="true" customHeight="false" outlineLevel="0" collapsed="false">
      <c r="A786" s="1" t="n">
        <v>7</v>
      </c>
      <c r="B786" s="1" t="s">
        <v>101</v>
      </c>
      <c r="C786" s="1" t="s">
        <v>331</v>
      </c>
      <c r="D786" s="23" t="s">
        <v>256</v>
      </c>
      <c r="E786" s="1" t="s">
        <v>254</v>
      </c>
      <c r="F786" s="1" t="s">
        <v>120</v>
      </c>
      <c r="G786" s="21" t="n">
        <f aca="false">ROUND(K786/PI(),0)</f>
        <v>4</v>
      </c>
      <c r="H786" s="1" t="n">
        <v>3</v>
      </c>
      <c r="I786" s="1" t="s">
        <v>129</v>
      </c>
      <c r="J786" s="1" t="s">
        <v>332</v>
      </c>
      <c r="K786" s="1" t="n">
        <v>13</v>
      </c>
    </row>
    <row r="787" customFormat="false" ht="14.25" hidden="true" customHeight="false" outlineLevel="0" collapsed="false">
      <c r="A787" s="1" t="n">
        <v>4</v>
      </c>
      <c r="B787" s="1" t="s">
        <v>122</v>
      </c>
      <c r="C787" s="1" t="s">
        <v>333</v>
      </c>
      <c r="D787" s="23"/>
      <c r="G787" s="21" t="n">
        <f aca="false">K787/3.1416</f>
        <v>40.7435701553349</v>
      </c>
      <c r="H787" s="1" t="n">
        <v>0</v>
      </c>
      <c r="I787" s="2" t="s">
        <v>74</v>
      </c>
      <c r="J787" s="1" t="s">
        <v>130</v>
      </c>
      <c r="K787" s="1" t="n">
        <v>128</v>
      </c>
    </row>
    <row r="788" customFormat="false" ht="14.25" hidden="true" customHeight="false" outlineLevel="0" collapsed="false">
      <c r="A788" s="1" t="n">
        <v>8</v>
      </c>
      <c r="B788" s="1" t="s">
        <v>101</v>
      </c>
      <c r="C788" s="1" t="s">
        <v>334</v>
      </c>
      <c r="D788" s="23" t="s">
        <v>335</v>
      </c>
      <c r="E788" s="1" t="s">
        <v>336</v>
      </c>
      <c r="F788" s="1" t="s">
        <v>120</v>
      </c>
      <c r="G788" s="21" t="n">
        <f aca="false">ROUND(K788/PI(),0)</f>
        <v>6</v>
      </c>
      <c r="H788" s="1" t="n">
        <v>8</v>
      </c>
      <c r="I788" s="1" t="s">
        <v>129</v>
      </c>
      <c r="J788" s="1" t="s">
        <v>162</v>
      </c>
      <c r="K788" s="1" t="n">
        <v>19</v>
      </c>
    </row>
    <row r="789" customFormat="false" ht="14.25" hidden="true" customHeight="false" outlineLevel="0" collapsed="false">
      <c r="A789" s="1" t="n">
        <v>2</v>
      </c>
      <c r="B789" s="1" t="s">
        <v>72</v>
      </c>
      <c r="C789" s="1" t="s">
        <v>337</v>
      </c>
      <c r="D789" s="23" t="s">
        <v>205</v>
      </c>
      <c r="E789" s="1" t="s">
        <v>206</v>
      </c>
      <c r="F789" s="1" t="s">
        <v>138</v>
      </c>
      <c r="G789" s="21" t="n">
        <f aca="false">ROUND(K789/PI(),0)</f>
        <v>8</v>
      </c>
      <c r="H789" s="1" t="n">
        <v>6</v>
      </c>
      <c r="I789" s="1" t="s">
        <v>129</v>
      </c>
      <c r="J789" s="1" t="s">
        <v>162</v>
      </c>
      <c r="K789" s="1" t="n">
        <v>25</v>
      </c>
    </row>
    <row r="790" customFormat="false" ht="14.25" hidden="true" customHeight="false" outlineLevel="0" collapsed="false">
      <c r="A790" s="1" t="n">
        <v>2</v>
      </c>
      <c r="B790" s="1" t="s">
        <v>72</v>
      </c>
      <c r="C790" s="1" t="s">
        <v>337</v>
      </c>
      <c r="D790" s="23" t="s">
        <v>205</v>
      </c>
      <c r="E790" s="1" t="s">
        <v>206</v>
      </c>
      <c r="F790" s="1" t="s">
        <v>138</v>
      </c>
      <c r="G790" s="21" t="n">
        <f aca="false">ROUND(K790/PI(),0)</f>
        <v>4</v>
      </c>
      <c r="H790" s="1" t="n">
        <v>5</v>
      </c>
      <c r="I790" s="1" t="s">
        <v>129</v>
      </c>
      <c r="J790" s="1" t="s">
        <v>162</v>
      </c>
      <c r="K790" s="1" t="n">
        <v>13</v>
      </c>
    </row>
    <row r="791" customFormat="false" ht="14.25" hidden="true" customHeight="false" outlineLevel="0" collapsed="false">
      <c r="A791" s="1" t="n">
        <v>7</v>
      </c>
      <c r="B791" s="1" t="s">
        <v>101</v>
      </c>
      <c r="C791" s="1" t="s">
        <v>337</v>
      </c>
      <c r="D791" s="23" t="s">
        <v>319</v>
      </c>
      <c r="E791" s="1" t="s">
        <v>206</v>
      </c>
      <c r="F791" s="1" t="s">
        <v>120</v>
      </c>
      <c r="G791" s="21" t="n">
        <f aca="false">ROUND(K791/PI(),0)</f>
        <v>15</v>
      </c>
      <c r="H791" s="1" t="n">
        <v>13</v>
      </c>
      <c r="I791" s="1" t="s">
        <v>129</v>
      </c>
      <c r="J791" s="1" t="s">
        <v>207</v>
      </c>
      <c r="K791" s="1" t="n">
        <v>46</v>
      </c>
    </row>
    <row r="792" customFormat="false" ht="14.25" hidden="true" customHeight="false" outlineLevel="0" collapsed="false">
      <c r="A792" s="1" t="n">
        <v>8</v>
      </c>
      <c r="B792" s="1" t="s">
        <v>101</v>
      </c>
      <c r="C792" s="1" t="s">
        <v>337</v>
      </c>
      <c r="D792" s="23" t="s">
        <v>319</v>
      </c>
      <c r="E792" s="1" t="s">
        <v>206</v>
      </c>
      <c r="F792" s="1" t="s">
        <v>120</v>
      </c>
      <c r="G792" s="21" t="n">
        <f aca="false">ROUND(K792/PI(),0)</f>
        <v>13</v>
      </c>
      <c r="H792" s="1" t="n">
        <v>10</v>
      </c>
      <c r="I792" s="1" t="s">
        <v>129</v>
      </c>
      <c r="J792" s="1" t="s">
        <v>162</v>
      </c>
      <c r="K792" s="1" t="n">
        <v>41</v>
      </c>
    </row>
    <row r="793" customFormat="false" ht="14.25" hidden="true" customHeight="false" outlineLevel="0" collapsed="false">
      <c r="A793" s="1" t="n">
        <v>24</v>
      </c>
      <c r="B793" s="1" t="s">
        <v>135</v>
      </c>
      <c r="C793" s="1" t="s">
        <v>338</v>
      </c>
      <c r="D793" s="23" t="s">
        <v>339</v>
      </c>
      <c r="E793" s="1" t="s">
        <v>139</v>
      </c>
      <c r="F793" s="1" t="s">
        <v>120</v>
      </c>
      <c r="G793" s="21" t="n">
        <f aca="false">K793/3.1416</f>
        <v>2.54647313470843</v>
      </c>
      <c r="H793" s="1" t="n">
        <v>4</v>
      </c>
      <c r="I793" s="1" t="s">
        <v>129</v>
      </c>
      <c r="J793" s="1" t="s">
        <v>130</v>
      </c>
      <c r="K793" s="1" t="n">
        <v>8</v>
      </c>
    </row>
    <row r="794" customFormat="false" ht="14.25" hidden="true" customHeight="false" outlineLevel="0" collapsed="false">
      <c r="A794" s="1" t="n">
        <v>5</v>
      </c>
      <c r="B794" s="1" t="s">
        <v>92</v>
      </c>
      <c r="C794" s="1" t="s">
        <v>340</v>
      </c>
      <c r="D794" s="23"/>
      <c r="G794" s="21" t="n">
        <f aca="false">ROUND(K794/PI(),0)</f>
        <v>6</v>
      </c>
      <c r="H794" s="1" t="n">
        <v>7</v>
      </c>
      <c r="I794" s="1" t="s">
        <v>129</v>
      </c>
      <c r="J794" s="1" t="s">
        <v>255</v>
      </c>
      <c r="K794" s="1" t="n">
        <v>20</v>
      </c>
    </row>
    <row r="795" customFormat="false" ht="14.25" hidden="true" customHeight="false" outlineLevel="0" collapsed="false">
      <c r="A795" s="1" t="n">
        <v>5</v>
      </c>
      <c r="B795" s="1" t="s">
        <v>92</v>
      </c>
      <c r="C795" s="1" t="s">
        <v>340</v>
      </c>
      <c r="D795" s="23" t="s">
        <v>341</v>
      </c>
      <c r="E795" s="1" t="s">
        <v>156</v>
      </c>
      <c r="F795" s="1" t="s">
        <v>138</v>
      </c>
      <c r="G795" s="21" t="n">
        <f aca="false">ROUND(K795/PI(),0)</f>
        <v>5</v>
      </c>
      <c r="H795" s="1" t="n">
        <v>7</v>
      </c>
      <c r="I795" s="1" t="s">
        <v>129</v>
      </c>
      <c r="J795" s="1" t="s">
        <v>255</v>
      </c>
      <c r="K795" s="1" t="n">
        <v>16</v>
      </c>
    </row>
    <row r="796" customFormat="false" ht="14.25" hidden="true" customHeight="false" outlineLevel="0" collapsed="false">
      <c r="A796" s="1" t="n">
        <v>5</v>
      </c>
      <c r="B796" s="1" t="s">
        <v>92</v>
      </c>
      <c r="C796" s="1" t="s">
        <v>340</v>
      </c>
      <c r="D796" s="23"/>
      <c r="G796" s="21" t="n">
        <f aca="false">ROUND(K796/PI(),0)</f>
        <v>4</v>
      </c>
      <c r="H796" s="1" t="n">
        <v>6</v>
      </c>
      <c r="I796" s="1" t="s">
        <v>129</v>
      </c>
      <c r="J796" s="1" t="s">
        <v>141</v>
      </c>
      <c r="K796" s="1" t="n">
        <v>13</v>
      </c>
    </row>
    <row r="797" customFormat="false" ht="14.25" hidden="true" customHeight="false" outlineLevel="0" collapsed="false">
      <c r="A797" s="1" t="n">
        <v>5</v>
      </c>
      <c r="B797" s="1" t="s">
        <v>92</v>
      </c>
      <c r="C797" s="1" t="s">
        <v>340</v>
      </c>
      <c r="D797" s="23" t="s">
        <v>154</v>
      </c>
      <c r="E797" s="1" t="s">
        <v>155</v>
      </c>
      <c r="F797" s="1" t="s">
        <v>120</v>
      </c>
      <c r="G797" s="21" t="n">
        <f aca="false">ROUND(K797/PI(),0)</f>
        <v>4</v>
      </c>
      <c r="H797" s="1" t="n">
        <v>6</v>
      </c>
      <c r="I797" s="1" t="s">
        <v>129</v>
      </c>
      <c r="J797" s="1" t="s">
        <v>141</v>
      </c>
      <c r="K797" s="1" t="n">
        <v>11</v>
      </c>
    </row>
    <row r="798" customFormat="false" ht="14.25" hidden="true" customHeight="false" outlineLevel="0" collapsed="false">
      <c r="A798" s="1" t="n">
        <v>5</v>
      </c>
      <c r="B798" s="1" t="s">
        <v>92</v>
      </c>
      <c r="C798" s="1" t="s">
        <v>340</v>
      </c>
      <c r="D798" s="23" t="s">
        <v>154</v>
      </c>
      <c r="E798" s="1" t="s">
        <v>155</v>
      </c>
      <c r="F798" s="1" t="s">
        <v>120</v>
      </c>
      <c r="G798" s="21" t="n">
        <f aca="false">ROUND(K798/PI(),0)</f>
        <v>4</v>
      </c>
      <c r="H798" s="1" t="n">
        <v>6</v>
      </c>
      <c r="I798" s="1" t="s">
        <v>129</v>
      </c>
      <c r="J798" s="1" t="s">
        <v>141</v>
      </c>
      <c r="K798" s="1" t="n">
        <v>11</v>
      </c>
    </row>
    <row r="799" customFormat="false" ht="14.25" hidden="true" customHeight="false" outlineLevel="0" collapsed="false">
      <c r="A799" s="1" t="n">
        <v>4</v>
      </c>
      <c r="B799" s="1" t="s">
        <v>82</v>
      </c>
      <c r="C799" s="1" t="s">
        <v>342</v>
      </c>
      <c r="D799" s="23" t="s">
        <v>199</v>
      </c>
      <c r="E799" s="1" t="s">
        <v>200</v>
      </c>
      <c r="F799" s="1" t="s">
        <v>120</v>
      </c>
      <c r="G799" s="21" t="n">
        <f aca="false">ROUND(K799/PI(),0)</f>
        <v>4</v>
      </c>
      <c r="H799" s="1" t="n">
        <v>7</v>
      </c>
      <c r="I799" s="1" t="s">
        <v>129</v>
      </c>
      <c r="J799" s="1" t="s">
        <v>152</v>
      </c>
      <c r="K799" s="1" t="n">
        <v>13</v>
      </c>
    </row>
    <row r="800" customFormat="false" ht="14.25" hidden="true" customHeight="false" outlineLevel="0" collapsed="false">
      <c r="A800" s="1" t="n">
        <v>1</v>
      </c>
      <c r="B800" s="1" t="s">
        <v>82</v>
      </c>
      <c r="C800" s="1" t="s">
        <v>343</v>
      </c>
      <c r="D800" s="23"/>
      <c r="G800" s="21" t="n">
        <f aca="false">K800/3.1416</f>
        <v>3.18309141838554</v>
      </c>
      <c r="H800" s="1" t="n">
        <v>0</v>
      </c>
      <c r="I800" s="2" t="s">
        <v>74</v>
      </c>
      <c r="J800" s="1" t="s">
        <v>149</v>
      </c>
      <c r="K800" s="1" t="n">
        <v>10</v>
      </c>
    </row>
    <row r="801" customFormat="false" ht="14.25" hidden="true" customHeight="false" outlineLevel="0" collapsed="false">
      <c r="A801" s="1" t="n">
        <v>2</v>
      </c>
      <c r="B801" s="1" t="s">
        <v>82</v>
      </c>
      <c r="C801" s="1" t="s">
        <v>343</v>
      </c>
      <c r="D801" s="23" t="s">
        <v>192</v>
      </c>
      <c r="E801" s="1" t="s">
        <v>193</v>
      </c>
      <c r="F801" s="2" t="s">
        <v>120</v>
      </c>
      <c r="G801" s="21" t="n">
        <f aca="false">K801/3.1416</f>
        <v>4.45632798573975</v>
      </c>
      <c r="H801" s="1" t="n">
        <v>0</v>
      </c>
      <c r="I801" s="2" t="s">
        <v>74</v>
      </c>
      <c r="J801" s="1" t="s">
        <v>149</v>
      </c>
      <c r="K801" s="1" t="n">
        <v>14</v>
      </c>
    </row>
    <row r="802" customFormat="false" ht="14.25" hidden="true" customHeight="false" outlineLevel="0" collapsed="false">
      <c r="A802" s="1" t="n">
        <v>4</v>
      </c>
      <c r="B802" s="1" t="s">
        <v>122</v>
      </c>
      <c r="C802" s="1" t="s">
        <v>343</v>
      </c>
      <c r="D802" s="23"/>
      <c r="G802" s="21" t="n">
        <f aca="false">K802/3.1416</f>
        <v>3.81970970206264</v>
      </c>
      <c r="H802" s="1" t="n">
        <v>0</v>
      </c>
      <c r="I802" s="2" t="s">
        <v>74</v>
      </c>
      <c r="J802" s="1" t="s">
        <v>149</v>
      </c>
      <c r="K802" s="1" t="n">
        <v>12</v>
      </c>
    </row>
    <row r="803" customFormat="false" ht="14.25" hidden="true" customHeight="false" outlineLevel="0" collapsed="false">
      <c r="A803" s="1" t="n">
        <v>5</v>
      </c>
      <c r="B803" s="1" t="s">
        <v>122</v>
      </c>
      <c r="C803" s="1" t="s">
        <v>343</v>
      </c>
      <c r="D803" s="23"/>
      <c r="G803" s="21" t="n">
        <f aca="false">K803/3.1416</f>
        <v>7.32111026228673</v>
      </c>
      <c r="H803" s="1" t="n">
        <v>0</v>
      </c>
      <c r="I803" s="2" t="s">
        <v>74</v>
      </c>
      <c r="J803" s="1" t="s">
        <v>149</v>
      </c>
      <c r="K803" s="1" t="n">
        <v>23</v>
      </c>
    </row>
    <row r="804" customFormat="false" ht="14.25" hidden="true" customHeight="false" outlineLevel="0" collapsed="false">
      <c r="A804" s="1" t="n">
        <v>5</v>
      </c>
      <c r="B804" s="1" t="s">
        <v>122</v>
      </c>
      <c r="C804" s="1" t="s">
        <v>343</v>
      </c>
      <c r="D804" s="23" t="s">
        <v>344</v>
      </c>
      <c r="E804" s="1" t="s">
        <v>145</v>
      </c>
      <c r="F804" s="2" t="s">
        <v>120</v>
      </c>
      <c r="G804" s="21" t="n">
        <f aca="false">K804/3.1416</f>
        <v>3.18309141838554</v>
      </c>
      <c r="H804" s="1" t="n">
        <v>0</v>
      </c>
      <c r="I804" s="2" t="s">
        <v>74</v>
      </c>
      <c r="J804" s="1" t="s">
        <v>149</v>
      </c>
      <c r="K804" s="1" t="n">
        <v>10</v>
      </c>
    </row>
    <row r="805" customFormat="false" ht="14.25" hidden="true" customHeight="false" outlineLevel="0" collapsed="false">
      <c r="A805" s="1" t="n">
        <v>7</v>
      </c>
      <c r="B805" s="1" t="s">
        <v>122</v>
      </c>
      <c r="C805" s="1" t="s">
        <v>343</v>
      </c>
      <c r="D805" s="23"/>
      <c r="E805" s="1" t="s">
        <v>156</v>
      </c>
      <c r="F805" s="2" t="s">
        <v>120</v>
      </c>
      <c r="G805" s="21" t="n">
        <f aca="false">K805/3.1416</f>
        <v>2.22816399286988</v>
      </c>
      <c r="H805" s="1" t="n">
        <v>2.5</v>
      </c>
      <c r="I805" s="2" t="s">
        <v>74</v>
      </c>
      <c r="J805" s="1" t="s">
        <v>149</v>
      </c>
      <c r="K805" s="1" t="n">
        <v>7</v>
      </c>
    </row>
    <row r="806" customFormat="false" ht="14.25" hidden="true" customHeight="false" outlineLevel="0" collapsed="false">
      <c r="A806" s="1" t="n">
        <v>8</v>
      </c>
      <c r="B806" s="1" t="s">
        <v>122</v>
      </c>
      <c r="C806" s="1" t="s">
        <v>343</v>
      </c>
      <c r="D806" s="23" t="s">
        <v>181</v>
      </c>
      <c r="E806" s="1" t="s">
        <v>182</v>
      </c>
      <c r="F806" s="1" t="s">
        <v>197</v>
      </c>
      <c r="G806" s="21" t="n">
        <f aca="false">K806/3.1416</f>
        <v>2.54647313470843</v>
      </c>
      <c r="H806" s="1" t="n">
        <v>5</v>
      </c>
      <c r="I806" s="2" t="s">
        <v>134</v>
      </c>
      <c r="J806" s="1" t="s">
        <v>149</v>
      </c>
      <c r="K806" s="1" t="n">
        <v>8</v>
      </c>
    </row>
    <row r="807" customFormat="false" ht="14.25" hidden="true" customHeight="false" outlineLevel="0" collapsed="false">
      <c r="A807" s="1" t="n">
        <v>8</v>
      </c>
      <c r="B807" s="1" t="s">
        <v>122</v>
      </c>
      <c r="C807" s="1" t="s">
        <v>343</v>
      </c>
      <c r="D807" s="23" t="s">
        <v>181</v>
      </c>
      <c r="E807" s="1" t="s">
        <v>182</v>
      </c>
      <c r="F807" s="1" t="s">
        <v>197</v>
      </c>
      <c r="G807" s="21" t="n">
        <f aca="false">K807/3.1416</f>
        <v>3.81970970206264</v>
      </c>
      <c r="H807" s="1" t="n">
        <v>4</v>
      </c>
      <c r="I807" s="2" t="s">
        <v>127</v>
      </c>
      <c r="J807" s="1" t="s">
        <v>149</v>
      </c>
      <c r="K807" s="1" t="n">
        <v>12</v>
      </c>
    </row>
    <row r="808" customFormat="false" ht="14.25" hidden="true" customHeight="false" outlineLevel="0" collapsed="false">
      <c r="A808" s="1" t="n">
        <v>8</v>
      </c>
      <c r="B808" s="1" t="s">
        <v>122</v>
      </c>
      <c r="C808" s="1" t="s">
        <v>343</v>
      </c>
      <c r="D808" s="23"/>
      <c r="E808" s="1" t="s">
        <v>157</v>
      </c>
      <c r="G808" s="21" t="n">
        <f aca="false">K808/3.1416</f>
        <v>5.72956455309397</v>
      </c>
      <c r="H808" s="1" t="n">
        <v>6</v>
      </c>
      <c r="I808" s="2" t="s">
        <v>129</v>
      </c>
      <c r="J808" s="1" t="s">
        <v>149</v>
      </c>
      <c r="K808" s="1" t="n">
        <v>18</v>
      </c>
    </row>
    <row r="809" customFormat="false" ht="14.25" hidden="true" customHeight="false" outlineLevel="0" collapsed="false">
      <c r="A809" s="1" t="n">
        <v>9</v>
      </c>
      <c r="B809" s="1" t="s">
        <v>122</v>
      </c>
      <c r="C809" s="1" t="s">
        <v>343</v>
      </c>
      <c r="D809" s="23" t="s">
        <v>345</v>
      </c>
      <c r="E809" s="1" t="s">
        <v>174</v>
      </c>
      <c r="F809" s="2" t="s">
        <v>138</v>
      </c>
      <c r="G809" s="21" t="n">
        <f aca="false">K809/3.1416</f>
        <v>4.45632798573975</v>
      </c>
      <c r="H809" s="1" t="n">
        <v>5</v>
      </c>
      <c r="I809" s="2" t="s">
        <v>129</v>
      </c>
      <c r="J809" s="1" t="s">
        <v>149</v>
      </c>
      <c r="K809" s="1" t="n">
        <v>14</v>
      </c>
    </row>
    <row r="810" customFormat="false" ht="14.25" hidden="true" customHeight="false" outlineLevel="0" collapsed="false">
      <c r="A810" s="1" t="n">
        <v>9</v>
      </c>
      <c r="B810" s="1" t="s">
        <v>122</v>
      </c>
      <c r="C810" s="1" t="s">
        <v>343</v>
      </c>
      <c r="D810" s="23"/>
      <c r="G810" s="21" t="n">
        <f aca="false">K810/3.1416</f>
        <v>7.95772854596384</v>
      </c>
      <c r="H810" s="1" t="n">
        <v>10</v>
      </c>
      <c r="I810" s="2" t="s">
        <v>129</v>
      </c>
      <c r="J810" s="1" t="s">
        <v>149</v>
      </c>
      <c r="K810" s="1" t="n">
        <v>25</v>
      </c>
    </row>
    <row r="811" customFormat="false" ht="14.25" hidden="true" customHeight="false" outlineLevel="0" collapsed="false">
      <c r="A811" s="1" t="n">
        <v>10</v>
      </c>
      <c r="B811" s="1" t="s">
        <v>82</v>
      </c>
      <c r="C811" s="1" t="s">
        <v>343</v>
      </c>
      <c r="D811" s="23" t="s">
        <v>346</v>
      </c>
      <c r="E811" s="1" t="s">
        <v>347</v>
      </c>
      <c r="F811" s="2" t="s">
        <v>120</v>
      </c>
      <c r="G811" s="21" t="n">
        <f aca="false">K811/3.1416</f>
        <v>3.18309141838554</v>
      </c>
      <c r="H811" s="1" t="n">
        <v>2.5</v>
      </c>
      <c r="I811" s="2" t="s">
        <v>127</v>
      </c>
      <c r="J811" s="1" t="s">
        <v>149</v>
      </c>
      <c r="K811" s="1" t="n">
        <v>10</v>
      </c>
    </row>
    <row r="812" customFormat="false" ht="14.25" hidden="false" customHeight="false" outlineLevel="0" collapsed="false">
      <c r="A812" s="1" t="n">
        <v>10</v>
      </c>
      <c r="B812" s="1" t="s">
        <v>82</v>
      </c>
      <c r="C812" s="1" t="s">
        <v>343</v>
      </c>
      <c r="D812" s="23" t="s">
        <v>192</v>
      </c>
      <c r="E812" s="1" t="s">
        <v>193</v>
      </c>
      <c r="F812" s="2" t="s">
        <v>120</v>
      </c>
      <c r="G812" s="21" t="n">
        <f aca="false">K812/3.1416</f>
        <v>5.72956455309397</v>
      </c>
      <c r="H812" s="1" t="n">
        <v>5</v>
      </c>
      <c r="I812" s="1" t="s">
        <v>129</v>
      </c>
      <c r="J812" s="1" t="s">
        <v>149</v>
      </c>
      <c r="K812" s="1" t="n">
        <v>18</v>
      </c>
    </row>
    <row r="813" customFormat="false" ht="14.25" hidden="false" customHeight="false" outlineLevel="0" collapsed="false">
      <c r="A813" s="1" t="n">
        <v>10</v>
      </c>
      <c r="B813" s="1" t="s">
        <v>82</v>
      </c>
      <c r="C813" s="1" t="s">
        <v>343</v>
      </c>
      <c r="D813" s="23" t="s">
        <v>348</v>
      </c>
      <c r="E813" s="1" t="s">
        <v>210</v>
      </c>
      <c r="F813" s="2" t="s">
        <v>120</v>
      </c>
      <c r="G813" s="21" t="n">
        <f aca="false">K813/3.1416</f>
        <v>6.36618283677107</v>
      </c>
      <c r="H813" s="1" t="n">
        <v>4</v>
      </c>
      <c r="I813" s="1" t="s">
        <v>129</v>
      </c>
      <c r="J813" s="1" t="s">
        <v>149</v>
      </c>
      <c r="K813" s="1" t="n">
        <v>20</v>
      </c>
    </row>
    <row r="814" customFormat="false" ht="14.25" hidden="true" customHeight="false" outlineLevel="0" collapsed="false">
      <c r="A814" s="1" t="n">
        <v>11</v>
      </c>
      <c r="B814" s="1" t="s">
        <v>82</v>
      </c>
      <c r="C814" s="1" t="s">
        <v>343</v>
      </c>
      <c r="D814" s="23" t="s">
        <v>192</v>
      </c>
      <c r="E814" s="1" t="s">
        <v>193</v>
      </c>
      <c r="F814" s="2" t="s">
        <v>120</v>
      </c>
      <c r="G814" s="21" t="n">
        <f aca="false">K814/3.1416</f>
        <v>2.54647313470843</v>
      </c>
      <c r="H814" s="1" t="n">
        <v>2.5</v>
      </c>
      <c r="I814" s="1" t="s">
        <v>129</v>
      </c>
      <c r="J814" s="1" t="s">
        <v>149</v>
      </c>
      <c r="K814" s="1" t="n">
        <v>8</v>
      </c>
    </row>
    <row r="815" customFormat="false" ht="14.25" hidden="true" customHeight="false" outlineLevel="0" collapsed="false">
      <c r="A815" s="1" t="n">
        <v>11</v>
      </c>
      <c r="B815" s="1" t="s">
        <v>82</v>
      </c>
      <c r="C815" s="1" t="s">
        <v>343</v>
      </c>
      <c r="D815" s="23" t="s">
        <v>192</v>
      </c>
      <c r="E815" s="1" t="s">
        <v>193</v>
      </c>
      <c r="F815" s="2" t="s">
        <v>120</v>
      </c>
      <c r="G815" s="21" t="n">
        <f aca="false">K815/3.1416</f>
        <v>2.54647313470843</v>
      </c>
      <c r="H815" s="1" t="n">
        <v>5</v>
      </c>
      <c r="I815" s="1" t="s">
        <v>129</v>
      </c>
      <c r="J815" s="1" t="s">
        <v>149</v>
      </c>
      <c r="K815" s="1" t="n">
        <v>8</v>
      </c>
    </row>
    <row r="816" customFormat="false" ht="14.25" hidden="true" customHeight="false" outlineLevel="0" collapsed="false">
      <c r="A816" s="1" t="n">
        <v>12</v>
      </c>
      <c r="B816" s="1" t="s">
        <v>128</v>
      </c>
      <c r="C816" s="1" t="s">
        <v>343</v>
      </c>
      <c r="D816" s="23"/>
      <c r="G816" s="21" t="n">
        <f aca="false">K816/3.1416</f>
        <v>4.7746371275783</v>
      </c>
      <c r="H816" s="1" t="n">
        <v>6</v>
      </c>
      <c r="I816" s="1" t="s">
        <v>134</v>
      </c>
      <c r="J816" s="1" t="s">
        <v>149</v>
      </c>
      <c r="K816" s="1" t="n">
        <v>15</v>
      </c>
    </row>
    <row r="817" customFormat="false" ht="14.25" hidden="true" customHeight="false" outlineLevel="0" collapsed="false">
      <c r="A817" s="1" t="n">
        <v>13</v>
      </c>
      <c r="B817" s="1" t="s">
        <v>128</v>
      </c>
      <c r="C817" s="1" t="s">
        <v>343</v>
      </c>
      <c r="D817" s="23"/>
      <c r="G817" s="21" t="n">
        <f aca="false">2*K817/3.1416</f>
        <v>8.9126559714795</v>
      </c>
      <c r="H817" s="1" t="n">
        <v>6</v>
      </c>
      <c r="I817" s="1" t="s">
        <v>127</v>
      </c>
      <c r="J817" s="1" t="s">
        <v>149</v>
      </c>
      <c r="K817" s="1" t="n">
        <v>14</v>
      </c>
    </row>
    <row r="818" customFormat="false" ht="14.25" hidden="true" customHeight="false" outlineLevel="0" collapsed="false">
      <c r="A818" s="1" t="n">
        <v>14</v>
      </c>
      <c r="B818" s="1" t="s">
        <v>131</v>
      </c>
      <c r="C818" s="1" t="s">
        <v>343</v>
      </c>
      <c r="D818" s="23" t="s">
        <v>349</v>
      </c>
      <c r="E818" s="1" t="s">
        <v>350</v>
      </c>
      <c r="F818" s="1" t="s">
        <v>138</v>
      </c>
      <c r="G818" s="21" t="n">
        <f aca="false">K818/3.1416</f>
        <v>3.18309141838554</v>
      </c>
      <c r="H818" s="1" t="n">
        <v>3</v>
      </c>
      <c r="I818" s="1" t="s">
        <v>129</v>
      </c>
      <c r="J818" s="1" t="s">
        <v>149</v>
      </c>
      <c r="K818" s="1" t="n">
        <v>10</v>
      </c>
    </row>
    <row r="819" customFormat="false" ht="14.25" hidden="true" customHeight="false" outlineLevel="0" collapsed="false">
      <c r="A819" s="1" t="n">
        <v>14</v>
      </c>
      <c r="B819" s="1" t="s">
        <v>131</v>
      </c>
      <c r="C819" s="1" t="s">
        <v>343</v>
      </c>
      <c r="D819" s="23" t="s">
        <v>189</v>
      </c>
      <c r="E819" s="1" t="s">
        <v>145</v>
      </c>
      <c r="F819" s="1" t="s">
        <v>120</v>
      </c>
      <c r="G819" s="21" t="n">
        <f aca="false">K819/3.1416</f>
        <v>2.86478227654698</v>
      </c>
      <c r="H819" s="1" t="n">
        <v>3</v>
      </c>
      <c r="I819" s="1" t="s">
        <v>129</v>
      </c>
      <c r="J819" s="1" t="s">
        <v>149</v>
      </c>
      <c r="K819" s="1" t="n">
        <v>9</v>
      </c>
    </row>
    <row r="820" customFormat="false" ht="14.25" hidden="true" customHeight="false" outlineLevel="0" collapsed="false">
      <c r="A820" s="1" t="n">
        <v>15</v>
      </c>
      <c r="B820" s="1" t="s">
        <v>131</v>
      </c>
      <c r="C820" s="1" t="s">
        <v>343</v>
      </c>
      <c r="D820" s="23"/>
      <c r="G820" s="21" t="n">
        <f aca="false">K820/3.1416</f>
        <v>2.54647313470843</v>
      </c>
      <c r="H820" s="1" t="n">
        <v>5</v>
      </c>
      <c r="I820" s="1" t="s">
        <v>129</v>
      </c>
      <c r="J820" s="1" t="s">
        <v>149</v>
      </c>
      <c r="K820" s="1" t="n">
        <v>8</v>
      </c>
    </row>
    <row r="821" customFormat="false" ht="14.25" hidden="true" customHeight="false" outlineLevel="0" collapsed="false">
      <c r="A821" s="1" t="n">
        <v>15</v>
      </c>
      <c r="B821" s="1" t="s">
        <v>131</v>
      </c>
      <c r="C821" s="1" t="s">
        <v>343</v>
      </c>
      <c r="D821" s="23"/>
      <c r="G821" s="21" t="n">
        <f aca="false">K821/3.1416</f>
        <v>2.54647313470843</v>
      </c>
      <c r="H821" s="1" t="n">
        <v>5</v>
      </c>
      <c r="I821" s="1" t="s">
        <v>129</v>
      </c>
      <c r="J821" s="1" t="s">
        <v>74</v>
      </c>
      <c r="K821" s="1" t="n">
        <v>8</v>
      </c>
    </row>
    <row r="822" customFormat="false" ht="14.25" hidden="true" customHeight="false" outlineLevel="0" collapsed="false">
      <c r="A822" s="1" t="n">
        <v>15</v>
      </c>
      <c r="B822" s="1" t="s">
        <v>131</v>
      </c>
      <c r="C822" s="1" t="s">
        <v>343</v>
      </c>
      <c r="D822" s="23"/>
      <c r="G822" s="21" t="n">
        <f aca="false">K822/3.1416</f>
        <v>3.50140056022409</v>
      </c>
      <c r="H822" s="1" t="n">
        <v>3</v>
      </c>
      <c r="I822" s="1" t="s">
        <v>127</v>
      </c>
      <c r="J822" s="1" t="s">
        <v>149</v>
      </c>
      <c r="K822" s="1" t="n">
        <v>11</v>
      </c>
    </row>
    <row r="823" customFormat="false" ht="14.25" hidden="true" customHeight="false" outlineLevel="0" collapsed="false">
      <c r="A823" s="1" t="n">
        <v>18</v>
      </c>
      <c r="B823" s="1" t="s">
        <v>128</v>
      </c>
      <c r="C823" s="1" t="s">
        <v>343</v>
      </c>
      <c r="D823" s="23" t="s">
        <v>192</v>
      </c>
      <c r="E823" s="1" t="s">
        <v>193</v>
      </c>
      <c r="F823" s="1" t="s">
        <v>120</v>
      </c>
      <c r="G823" s="21" t="n">
        <f aca="false">K823/3.1416</f>
        <v>4.1380188439012</v>
      </c>
      <c r="H823" s="1" t="n">
        <v>4</v>
      </c>
      <c r="I823" s="1" t="s">
        <v>129</v>
      </c>
      <c r="J823" s="1" t="s">
        <v>149</v>
      </c>
      <c r="K823" s="1" t="n">
        <v>13</v>
      </c>
    </row>
    <row r="824" customFormat="false" ht="14.25" hidden="true" customHeight="false" outlineLevel="0" collapsed="false">
      <c r="A824" s="1" t="n">
        <v>19</v>
      </c>
      <c r="B824" s="1" t="s">
        <v>128</v>
      </c>
      <c r="C824" s="1" t="s">
        <v>343</v>
      </c>
      <c r="D824" s="23" t="s">
        <v>349</v>
      </c>
      <c r="E824" s="1" t="s">
        <v>350</v>
      </c>
      <c r="F824" s="1" t="s">
        <v>138</v>
      </c>
      <c r="G824" s="21" t="n">
        <f aca="false">K824/3.1416</f>
        <v>2.54647313470843</v>
      </c>
      <c r="H824" s="1" t="n">
        <v>3</v>
      </c>
      <c r="I824" s="1" t="s">
        <v>129</v>
      </c>
      <c r="J824" s="1" t="s">
        <v>149</v>
      </c>
      <c r="K824" s="1" t="n">
        <v>8</v>
      </c>
    </row>
    <row r="825" customFormat="false" ht="14.25" hidden="true" customHeight="false" outlineLevel="0" collapsed="false">
      <c r="A825" s="1" t="n">
        <v>19</v>
      </c>
      <c r="B825" s="1" t="s">
        <v>128</v>
      </c>
      <c r="C825" s="1" t="s">
        <v>343</v>
      </c>
      <c r="D825" s="23" t="s">
        <v>349</v>
      </c>
      <c r="E825" s="1" t="s">
        <v>350</v>
      </c>
      <c r="F825" s="1" t="s">
        <v>138</v>
      </c>
      <c r="G825" s="21" t="n">
        <f aca="false">K825/3.1416</f>
        <v>3.81970970206264</v>
      </c>
      <c r="H825" s="1" t="n">
        <v>5</v>
      </c>
      <c r="I825" s="1" t="s">
        <v>129</v>
      </c>
      <c r="J825" s="1" t="s">
        <v>149</v>
      </c>
      <c r="K825" s="1" t="n">
        <v>12</v>
      </c>
    </row>
    <row r="826" customFormat="false" ht="14.25" hidden="true" customHeight="false" outlineLevel="0" collapsed="false">
      <c r="A826" s="1" t="n">
        <v>19</v>
      </c>
      <c r="B826" s="1" t="s">
        <v>128</v>
      </c>
      <c r="C826" s="1" t="s">
        <v>343</v>
      </c>
      <c r="D826" s="23" t="s">
        <v>349</v>
      </c>
      <c r="E826" s="1" t="s">
        <v>350</v>
      </c>
      <c r="F826" s="1" t="s">
        <v>138</v>
      </c>
      <c r="G826" s="21" t="n">
        <f aca="false">K826/3.1416</f>
        <v>3.50140056022409</v>
      </c>
      <c r="H826" s="1" t="n">
        <v>5</v>
      </c>
      <c r="I826" s="1" t="s">
        <v>129</v>
      </c>
      <c r="J826" s="1" t="s">
        <v>149</v>
      </c>
      <c r="K826" s="1" t="n">
        <v>11</v>
      </c>
    </row>
    <row r="827" customFormat="false" ht="14.25" hidden="true" customHeight="false" outlineLevel="0" collapsed="false">
      <c r="A827" s="1" t="n">
        <v>19</v>
      </c>
      <c r="B827" s="1" t="s">
        <v>128</v>
      </c>
      <c r="C827" s="1" t="s">
        <v>343</v>
      </c>
      <c r="D827" s="23" t="s">
        <v>349</v>
      </c>
      <c r="E827" s="1" t="s">
        <v>350</v>
      </c>
      <c r="F827" s="1" t="s">
        <v>138</v>
      </c>
      <c r="G827" s="21" t="n">
        <f aca="false">K827/3.1416</f>
        <v>2.86478227654698</v>
      </c>
      <c r="H827" s="1" t="n">
        <v>6</v>
      </c>
      <c r="I827" s="1" t="s">
        <v>129</v>
      </c>
      <c r="J827" s="1" t="s">
        <v>149</v>
      </c>
      <c r="K827" s="1" t="n">
        <v>9</v>
      </c>
    </row>
    <row r="828" customFormat="false" ht="14.25" hidden="true" customHeight="false" outlineLevel="0" collapsed="false">
      <c r="A828" s="1" t="n">
        <v>19</v>
      </c>
      <c r="B828" s="1" t="s">
        <v>128</v>
      </c>
      <c r="C828" s="1" t="s">
        <v>343</v>
      </c>
      <c r="D828" s="23" t="s">
        <v>192</v>
      </c>
      <c r="E828" s="1" t="s">
        <v>193</v>
      </c>
      <c r="F828" s="1" t="s">
        <v>120</v>
      </c>
      <c r="G828" s="21" t="n">
        <f aca="false">K828/3.1416</f>
        <v>7.32111026228673</v>
      </c>
      <c r="H828" s="1" t="n">
        <v>6</v>
      </c>
      <c r="I828" s="1" t="s">
        <v>129</v>
      </c>
      <c r="J828" s="1" t="s">
        <v>149</v>
      </c>
      <c r="K828" s="1" t="n">
        <v>23</v>
      </c>
    </row>
    <row r="829" customFormat="false" ht="14.25" hidden="true" customHeight="false" outlineLevel="0" collapsed="false">
      <c r="A829" s="1" t="n">
        <v>19</v>
      </c>
      <c r="B829" s="1" t="s">
        <v>128</v>
      </c>
      <c r="C829" s="1" t="s">
        <v>343</v>
      </c>
      <c r="D829" s="23" t="s">
        <v>192</v>
      </c>
      <c r="E829" s="1" t="s">
        <v>193</v>
      </c>
      <c r="F829" s="1" t="s">
        <v>120</v>
      </c>
      <c r="G829" s="21" t="n">
        <f aca="false">K829/3.1416</f>
        <v>7.95772854596384</v>
      </c>
      <c r="H829" s="1" t="n">
        <v>6</v>
      </c>
      <c r="I829" s="1" t="s">
        <v>129</v>
      </c>
      <c r="J829" s="1" t="s">
        <v>149</v>
      </c>
      <c r="K829" s="1" t="n">
        <v>25</v>
      </c>
    </row>
    <row r="830" customFormat="false" ht="14.25" hidden="true" customHeight="false" outlineLevel="0" collapsed="false">
      <c r="A830" s="1" t="n">
        <v>20</v>
      </c>
      <c r="B830" s="1" t="s">
        <v>128</v>
      </c>
      <c r="C830" s="1" t="s">
        <v>343</v>
      </c>
      <c r="D830" s="23" t="s">
        <v>344</v>
      </c>
      <c r="E830" s="1" t="s">
        <v>145</v>
      </c>
      <c r="F830" s="1" t="s">
        <v>120</v>
      </c>
      <c r="G830" s="21" t="n">
        <f aca="false">K830/3.1416</f>
        <v>3.50140056022409</v>
      </c>
      <c r="H830" s="1" t="n">
        <v>5</v>
      </c>
      <c r="I830" s="1" t="s">
        <v>127</v>
      </c>
      <c r="J830" s="1" t="s">
        <v>149</v>
      </c>
      <c r="K830" s="1" t="n">
        <v>11</v>
      </c>
    </row>
    <row r="831" customFormat="false" ht="14.25" hidden="true" customHeight="false" outlineLevel="0" collapsed="false">
      <c r="A831" s="1" t="n">
        <v>20</v>
      </c>
      <c r="B831" s="1" t="s">
        <v>128</v>
      </c>
      <c r="C831" s="1" t="s">
        <v>343</v>
      </c>
      <c r="D831" s="23" t="s">
        <v>349</v>
      </c>
      <c r="E831" s="1" t="s">
        <v>350</v>
      </c>
      <c r="F831" s="1" t="s">
        <v>138</v>
      </c>
      <c r="G831" s="21" t="n">
        <f aca="false">K831/3.1416</f>
        <v>3.81970970206264</v>
      </c>
      <c r="H831" s="1" t="n">
        <v>5</v>
      </c>
      <c r="I831" s="1" t="s">
        <v>129</v>
      </c>
      <c r="J831" s="1" t="s">
        <v>149</v>
      </c>
      <c r="K831" s="1" t="n">
        <v>12</v>
      </c>
    </row>
    <row r="832" customFormat="false" ht="14.25" hidden="true" customHeight="false" outlineLevel="0" collapsed="false">
      <c r="A832" s="1" t="n">
        <v>22</v>
      </c>
      <c r="B832" s="1" t="s">
        <v>135</v>
      </c>
      <c r="C832" s="1" t="s">
        <v>343</v>
      </c>
      <c r="D832" s="23"/>
      <c r="G832" s="21" t="n">
        <f aca="false">K832/3.1416</f>
        <v>6.04787369493252</v>
      </c>
      <c r="H832" s="1" t="n">
        <v>8</v>
      </c>
      <c r="I832" s="1" t="s">
        <v>129</v>
      </c>
      <c r="J832" s="1" t="s">
        <v>149</v>
      </c>
      <c r="K832" s="1" t="n">
        <v>19</v>
      </c>
    </row>
    <row r="833" customFormat="false" ht="14.25" hidden="true" customHeight="false" outlineLevel="0" collapsed="false">
      <c r="A833" s="1" t="n">
        <v>23</v>
      </c>
      <c r="B833" s="1" t="s">
        <v>135</v>
      </c>
      <c r="C833" s="1" t="s">
        <v>343</v>
      </c>
      <c r="D833" s="23" t="s">
        <v>351</v>
      </c>
      <c r="E833" s="1" t="s">
        <v>313</v>
      </c>
      <c r="G833" s="21" t="n">
        <f aca="false">K833/3.1416</f>
        <v>4.1380188439012</v>
      </c>
      <c r="H833" s="1" t="n">
        <v>7</v>
      </c>
      <c r="I833" s="1" t="s">
        <v>129</v>
      </c>
      <c r="J833" s="1" t="s">
        <v>149</v>
      </c>
      <c r="K833" s="1" t="n">
        <v>13</v>
      </c>
    </row>
    <row r="834" customFormat="false" ht="14.25" hidden="true" customHeight="false" outlineLevel="0" collapsed="false">
      <c r="A834" s="1" t="n">
        <v>23</v>
      </c>
      <c r="B834" s="1" t="s">
        <v>135</v>
      </c>
      <c r="C834" s="1" t="s">
        <v>343</v>
      </c>
      <c r="D834" s="23" t="s">
        <v>192</v>
      </c>
      <c r="E834" s="1" t="s">
        <v>193</v>
      </c>
      <c r="F834" s="1" t="s">
        <v>120</v>
      </c>
      <c r="G834" s="21" t="n">
        <f aca="false">K834/3.1416</f>
        <v>2.54647313470843</v>
      </c>
      <c r="H834" s="1" t="n">
        <v>3</v>
      </c>
      <c r="I834" s="1" t="s">
        <v>129</v>
      </c>
      <c r="J834" s="1" t="s">
        <v>149</v>
      </c>
      <c r="K834" s="1" t="n">
        <v>8</v>
      </c>
    </row>
    <row r="835" customFormat="false" ht="14.25" hidden="true" customHeight="false" outlineLevel="0" collapsed="false">
      <c r="A835" s="1" t="n">
        <v>24</v>
      </c>
      <c r="B835" s="1" t="s">
        <v>135</v>
      </c>
      <c r="C835" s="1" t="s">
        <v>343</v>
      </c>
      <c r="D835" s="23"/>
      <c r="G835" s="21" t="n">
        <f aca="false">K835/3.1416</f>
        <v>2.54647313470843</v>
      </c>
      <c r="H835" s="1" t="n">
        <v>4</v>
      </c>
      <c r="I835" s="1" t="s">
        <v>129</v>
      </c>
      <c r="J835" s="1" t="s">
        <v>149</v>
      </c>
      <c r="K835" s="1" t="n">
        <v>8</v>
      </c>
    </row>
    <row r="836" customFormat="false" ht="14.25" hidden="true" customHeight="false" outlineLevel="0" collapsed="false">
      <c r="A836" s="1" t="n">
        <v>28</v>
      </c>
      <c r="B836" s="1" t="s">
        <v>82</v>
      </c>
      <c r="C836" s="1" t="s">
        <v>343</v>
      </c>
      <c r="D836" s="23" t="s">
        <v>349</v>
      </c>
      <c r="E836" s="1" t="s">
        <v>350</v>
      </c>
      <c r="F836" s="1" t="s">
        <v>138</v>
      </c>
      <c r="G836" s="21" t="n">
        <f aca="false">K836/3.1416</f>
        <v>2.54647313470843</v>
      </c>
      <c r="H836" s="1" t="n">
        <v>3</v>
      </c>
      <c r="I836" s="1" t="s">
        <v>134</v>
      </c>
      <c r="J836" s="1" t="s">
        <v>149</v>
      </c>
      <c r="K836" s="1" t="n">
        <v>8</v>
      </c>
    </row>
    <row r="837" customFormat="false" ht="14.25" hidden="true" customHeight="false" outlineLevel="0" collapsed="false">
      <c r="A837" s="1" t="n">
        <v>28</v>
      </c>
      <c r="B837" s="1" t="s">
        <v>82</v>
      </c>
      <c r="C837" s="1" t="s">
        <v>343</v>
      </c>
      <c r="D837" s="23"/>
      <c r="G837" s="21" t="n">
        <f aca="false">K837/3.1416</f>
        <v>2.54647313470843</v>
      </c>
      <c r="H837" s="1" t="n">
        <v>4</v>
      </c>
      <c r="I837" s="1" t="s">
        <v>134</v>
      </c>
      <c r="J837" s="1" t="s">
        <v>149</v>
      </c>
      <c r="K837" s="1" t="n">
        <v>8</v>
      </c>
    </row>
    <row r="838" customFormat="false" ht="14.25" hidden="true" customHeight="false" outlineLevel="0" collapsed="false">
      <c r="A838" s="1" t="n">
        <v>29</v>
      </c>
      <c r="B838" s="1" t="s">
        <v>131</v>
      </c>
      <c r="C838" s="1" t="s">
        <v>343</v>
      </c>
      <c r="D838" s="23" t="s">
        <v>349</v>
      </c>
      <c r="E838" s="1" t="s">
        <v>350</v>
      </c>
      <c r="F838" s="1" t="s">
        <v>138</v>
      </c>
      <c r="G838" s="21" t="n">
        <f aca="false">K838/3.1416</f>
        <v>2.54647313470843</v>
      </c>
      <c r="H838" s="1" t="n">
        <v>5</v>
      </c>
      <c r="I838" s="1" t="s">
        <v>129</v>
      </c>
      <c r="J838" s="1" t="s">
        <v>149</v>
      </c>
      <c r="K838" s="1" t="n">
        <v>8</v>
      </c>
    </row>
    <row r="839" customFormat="false" ht="14.25" hidden="true" customHeight="false" outlineLevel="0" collapsed="false">
      <c r="A839" s="1" t="n">
        <v>29</v>
      </c>
      <c r="B839" s="1" t="s">
        <v>131</v>
      </c>
      <c r="C839" s="1" t="s">
        <v>343</v>
      </c>
      <c r="D839" s="23" t="s">
        <v>352</v>
      </c>
      <c r="E839" s="1" t="s">
        <v>350</v>
      </c>
      <c r="F839" s="1" t="s">
        <v>138</v>
      </c>
      <c r="G839" s="21" t="n">
        <f aca="false">K839/3.1416</f>
        <v>2.86478227654698</v>
      </c>
      <c r="H839" s="1" t="n">
        <v>6</v>
      </c>
      <c r="I839" s="1" t="s">
        <v>129</v>
      </c>
      <c r="J839" s="1" t="s">
        <v>149</v>
      </c>
      <c r="K839" s="1" t="n">
        <v>9</v>
      </c>
    </row>
    <row r="840" customFormat="false" ht="14.25" hidden="true" customHeight="false" outlineLevel="0" collapsed="false">
      <c r="A840" s="1" t="n">
        <v>29</v>
      </c>
      <c r="B840" s="1" t="s">
        <v>131</v>
      </c>
      <c r="C840" s="1" t="s">
        <v>343</v>
      </c>
      <c r="D840" s="23"/>
      <c r="G840" s="21" t="n">
        <f aca="false">K840/3.1416</f>
        <v>3.81970970206264</v>
      </c>
      <c r="H840" s="1" t="n">
        <v>6</v>
      </c>
      <c r="I840" s="1" t="s">
        <v>129</v>
      </c>
      <c r="J840" s="1" t="s">
        <v>149</v>
      </c>
      <c r="K840" s="1" t="n">
        <v>12</v>
      </c>
    </row>
    <row r="841" customFormat="false" ht="14.25" hidden="true" customHeight="false" outlineLevel="0" collapsed="false">
      <c r="A841" s="1" t="n">
        <v>29</v>
      </c>
      <c r="B841" s="1" t="s">
        <v>131</v>
      </c>
      <c r="C841" s="1" t="s">
        <v>343</v>
      </c>
      <c r="D841" s="23"/>
      <c r="G841" s="21" t="n">
        <f aca="false">K841/3.1416</f>
        <v>4.7746371275783</v>
      </c>
      <c r="H841" s="1" t="n">
        <v>6</v>
      </c>
      <c r="I841" s="1" t="s">
        <v>129</v>
      </c>
      <c r="J841" s="1" t="s">
        <v>149</v>
      </c>
      <c r="K841" s="1" t="n">
        <v>15</v>
      </c>
    </row>
    <row r="842" customFormat="false" ht="14.25" hidden="true" customHeight="false" outlineLevel="0" collapsed="false">
      <c r="A842" s="1" t="n">
        <v>29</v>
      </c>
      <c r="B842" s="1" t="s">
        <v>131</v>
      </c>
      <c r="C842" s="1" t="s">
        <v>343</v>
      </c>
      <c r="D842" s="23"/>
      <c r="G842" s="21" t="n">
        <f aca="false">K842/3.1416</f>
        <v>3.50140056022409</v>
      </c>
      <c r="H842" s="1" t="n">
        <v>4</v>
      </c>
      <c r="I842" s="1" t="s">
        <v>129</v>
      </c>
      <c r="J842" s="1" t="s">
        <v>149</v>
      </c>
      <c r="K842" s="1" t="n">
        <v>11</v>
      </c>
    </row>
    <row r="843" customFormat="false" ht="14.25" hidden="true" customHeight="false" outlineLevel="0" collapsed="false">
      <c r="A843" s="1" t="n">
        <v>29</v>
      </c>
      <c r="B843" s="1" t="s">
        <v>131</v>
      </c>
      <c r="C843" s="1" t="s">
        <v>343</v>
      </c>
      <c r="D843" s="23"/>
      <c r="G843" s="21" t="n">
        <f aca="false">K843/3.1416</f>
        <v>2.54647313470843</v>
      </c>
      <c r="H843" s="1" t="n">
        <v>5</v>
      </c>
      <c r="I843" s="1" t="s">
        <v>127</v>
      </c>
      <c r="J843" s="1" t="s">
        <v>149</v>
      </c>
      <c r="K843" s="1" t="n">
        <v>8</v>
      </c>
    </row>
    <row r="844" customFormat="false" ht="14.25" hidden="true" customHeight="false" outlineLevel="0" collapsed="false">
      <c r="A844" s="1" t="n">
        <v>30</v>
      </c>
      <c r="B844" s="1" t="s">
        <v>131</v>
      </c>
      <c r="C844" s="1" t="s">
        <v>343</v>
      </c>
      <c r="D844" s="23"/>
      <c r="G844" s="21" t="n">
        <f aca="false">K844/3.1416</f>
        <v>2.54647313470843</v>
      </c>
      <c r="H844" s="1" t="n">
        <v>4</v>
      </c>
      <c r="I844" s="1" t="s">
        <v>129</v>
      </c>
      <c r="J844" s="1" t="s">
        <v>149</v>
      </c>
      <c r="K844" s="1" t="n">
        <v>8</v>
      </c>
    </row>
    <row r="845" customFormat="false" ht="14.25" hidden="true" customHeight="false" outlineLevel="0" collapsed="false">
      <c r="A845" s="1" t="n">
        <v>31</v>
      </c>
      <c r="B845" s="1" t="s">
        <v>131</v>
      </c>
      <c r="C845" s="1" t="s">
        <v>343</v>
      </c>
      <c r="D845" s="23"/>
      <c r="G845" s="21" t="n">
        <f aca="false">K845/3.1416</f>
        <v>2.54647313470843</v>
      </c>
      <c r="H845" s="1" t="n">
        <v>5</v>
      </c>
      <c r="I845" s="1" t="s">
        <v>129</v>
      </c>
      <c r="J845" s="1" t="s">
        <v>149</v>
      </c>
      <c r="K845" s="1" t="n">
        <v>8</v>
      </c>
    </row>
    <row r="846" customFormat="false" ht="14.25" hidden="true" customHeight="false" outlineLevel="0" collapsed="false">
      <c r="A846" s="1" t="n">
        <v>31</v>
      </c>
      <c r="B846" s="1" t="s">
        <v>131</v>
      </c>
      <c r="C846" s="1" t="s">
        <v>343</v>
      </c>
      <c r="D846" s="23" t="s">
        <v>349</v>
      </c>
      <c r="E846" s="1" t="s">
        <v>350</v>
      </c>
      <c r="F846" s="1" t="s">
        <v>138</v>
      </c>
      <c r="G846" s="21" t="n">
        <f aca="false">K846/3.1416</f>
        <v>2.54647313470843</v>
      </c>
      <c r="H846" s="1" t="n">
        <v>4</v>
      </c>
      <c r="I846" s="1" t="s">
        <v>129</v>
      </c>
      <c r="J846" s="1" t="s">
        <v>149</v>
      </c>
      <c r="K846" s="1" t="n">
        <v>8</v>
      </c>
    </row>
    <row r="847" customFormat="false" ht="14.25" hidden="true" customHeight="false" outlineLevel="0" collapsed="false">
      <c r="A847" s="1" t="n">
        <v>26</v>
      </c>
      <c r="B847" s="1" t="s">
        <v>135</v>
      </c>
      <c r="C847" s="1" t="s">
        <v>353</v>
      </c>
      <c r="D847" s="23"/>
      <c r="G847" s="21" t="n">
        <f aca="false">K847/3.1416</f>
        <v>4.45632798573975</v>
      </c>
      <c r="H847" s="1" t="n">
        <v>7</v>
      </c>
      <c r="I847" s="1" t="s">
        <v>129</v>
      </c>
      <c r="J847" s="1" t="s">
        <v>149</v>
      </c>
      <c r="K847" s="1" t="n">
        <v>14</v>
      </c>
    </row>
    <row r="848" customFormat="false" ht="14.25" hidden="true" customHeight="false" outlineLevel="0" collapsed="false">
      <c r="A848" s="1" t="n">
        <v>5</v>
      </c>
      <c r="B848" s="1" t="s">
        <v>92</v>
      </c>
      <c r="C848" s="1" t="s">
        <v>353</v>
      </c>
      <c r="D848" s="23"/>
      <c r="E848" s="1" t="s">
        <v>210</v>
      </c>
      <c r="F848" s="1" t="s">
        <v>120</v>
      </c>
      <c r="G848" s="21" t="n">
        <f aca="false">ROUND(K848/PI(),0)</f>
        <v>3</v>
      </c>
      <c r="H848" s="1" t="n">
        <v>3</v>
      </c>
      <c r="I848" s="1" t="s">
        <v>129</v>
      </c>
      <c r="J848" s="1" t="s">
        <v>152</v>
      </c>
      <c r="K848" s="1" t="n">
        <v>9</v>
      </c>
    </row>
    <row r="849" customFormat="false" ht="14.25" hidden="true" customHeight="false" outlineLevel="0" collapsed="false">
      <c r="A849" s="1" t="n">
        <v>5</v>
      </c>
      <c r="B849" s="1" t="s">
        <v>92</v>
      </c>
      <c r="C849" s="1" t="s">
        <v>354</v>
      </c>
      <c r="D849" s="23" t="s">
        <v>205</v>
      </c>
      <c r="E849" s="1" t="s">
        <v>206</v>
      </c>
      <c r="F849" s="1" t="s">
        <v>138</v>
      </c>
      <c r="G849" s="21" t="n">
        <f aca="false">ROUND(K849/PI(),0)</f>
        <v>7</v>
      </c>
      <c r="H849" s="1" t="n">
        <v>6</v>
      </c>
      <c r="I849" s="1" t="s">
        <v>129</v>
      </c>
      <c r="J849" s="1" t="s">
        <v>207</v>
      </c>
      <c r="K849" s="1" t="n">
        <v>22</v>
      </c>
    </row>
    <row r="850" customFormat="false" ht="14.25" hidden="true" customHeight="false" outlineLevel="0" collapsed="false">
      <c r="A850" s="1" t="n">
        <v>6</v>
      </c>
      <c r="B850" s="1" t="s">
        <v>92</v>
      </c>
      <c r="C850" s="1" t="s">
        <v>354</v>
      </c>
      <c r="D850" s="23" t="s">
        <v>319</v>
      </c>
      <c r="E850" s="1" t="s">
        <v>206</v>
      </c>
      <c r="F850" s="1" t="s">
        <v>120</v>
      </c>
      <c r="G850" s="21" t="n">
        <f aca="false">ROUND(K850/PI(),0)</f>
        <v>14</v>
      </c>
      <c r="H850" s="1" t="n">
        <v>10</v>
      </c>
      <c r="I850" s="1" t="s">
        <v>129</v>
      </c>
      <c r="J850" s="1" t="s">
        <v>207</v>
      </c>
      <c r="K850" s="1" t="n">
        <v>45</v>
      </c>
    </row>
    <row r="851" customFormat="false" ht="14.25" hidden="true" customHeight="false" outlineLevel="0" collapsed="false">
      <c r="A851" s="1" t="n">
        <v>5</v>
      </c>
      <c r="B851" s="1" t="s">
        <v>122</v>
      </c>
      <c r="C851" s="1" t="s">
        <v>355</v>
      </c>
      <c r="D851" s="23"/>
      <c r="F851" s="2" t="s">
        <v>120</v>
      </c>
      <c r="G851" s="21" t="n">
        <f aca="false">K851/3.1416</f>
        <v>8.27603768780239</v>
      </c>
      <c r="H851" s="1" t="n">
        <v>0</v>
      </c>
      <c r="I851" s="2" t="s">
        <v>74</v>
      </c>
      <c r="J851" s="1" t="s">
        <v>149</v>
      </c>
      <c r="K851" s="1" t="n">
        <v>26</v>
      </c>
    </row>
    <row r="852" customFormat="false" ht="14.25" hidden="true" customHeight="false" outlineLevel="0" collapsed="false">
      <c r="A852" s="1" t="n">
        <v>6</v>
      </c>
      <c r="B852" s="1" t="s">
        <v>122</v>
      </c>
      <c r="C852" s="1" t="s">
        <v>355</v>
      </c>
      <c r="D852" s="23"/>
      <c r="G852" s="21" t="n">
        <f aca="false">K852/3.1416</f>
        <v>7.00280112044818</v>
      </c>
      <c r="H852" s="1" t="n">
        <v>13</v>
      </c>
      <c r="I852" s="2" t="s">
        <v>74</v>
      </c>
      <c r="J852" s="1" t="s">
        <v>149</v>
      </c>
      <c r="K852" s="1" t="n">
        <v>22</v>
      </c>
    </row>
    <row r="853" customFormat="false" ht="14.25" hidden="true" customHeight="false" outlineLevel="0" collapsed="false">
      <c r="A853" s="1" t="n">
        <v>14</v>
      </c>
      <c r="B853" s="1" t="s">
        <v>131</v>
      </c>
      <c r="C853" s="1" t="s">
        <v>355</v>
      </c>
      <c r="D853" s="23"/>
      <c r="E853" s="1" t="s">
        <v>174</v>
      </c>
      <c r="F853" s="1" t="s">
        <v>120</v>
      </c>
      <c r="G853" s="21" t="n">
        <f aca="false">K853/3.1416</f>
        <v>12.4140565317036</v>
      </c>
      <c r="H853" s="1" t="n">
        <v>10</v>
      </c>
      <c r="I853" s="1" t="s">
        <v>129</v>
      </c>
      <c r="J853" s="1" t="s">
        <v>149</v>
      </c>
      <c r="K853" s="1" t="n">
        <v>39</v>
      </c>
    </row>
    <row r="854" customFormat="false" ht="14.25" hidden="true" customHeight="false" outlineLevel="0" collapsed="false">
      <c r="A854" s="1" t="n">
        <v>15</v>
      </c>
      <c r="B854" s="1" t="s">
        <v>131</v>
      </c>
      <c r="C854" s="1" t="s">
        <v>355</v>
      </c>
      <c r="D854" s="23" t="s">
        <v>356</v>
      </c>
      <c r="E854" s="1" t="s">
        <v>174</v>
      </c>
      <c r="F854" s="1" t="s">
        <v>120</v>
      </c>
      <c r="G854" s="21" t="n">
        <f aca="false">K854/3.1416</f>
        <v>6.04787369493252</v>
      </c>
      <c r="H854" s="1" t="n">
        <v>6</v>
      </c>
      <c r="I854" s="1" t="s">
        <v>129</v>
      </c>
      <c r="J854" s="1" t="s">
        <v>149</v>
      </c>
      <c r="K854" s="1" t="n">
        <v>19</v>
      </c>
    </row>
    <row r="855" customFormat="false" ht="14.25" hidden="true" customHeight="false" outlineLevel="0" collapsed="false">
      <c r="A855" s="1" t="n">
        <v>17</v>
      </c>
      <c r="B855" s="1" t="s">
        <v>128</v>
      </c>
      <c r="C855" s="1" t="s">
        <v>355</v>
      </c>
      <c r="D855" s="23"/>
      <c r="G855" s="21" t="n">
        <f aca="false">K855/3.1416</f>
        <v>3.18309141838554</v>
      </c>
      <c r="H855" s="1" t="n">
        <v>6</v>
      </c>
      <c r="I855" s="1" t="s">
        <v>127</v>
      </c>
      <c r="J855" s="1" t="s">
        <v>149</v>
      </c>
      <c r="K855" s="1" t="n">
        <v>10</v>
      </c>
    </row>
    <row r="856" customFormat="false" ht="14.25" hidden="true" customHeight="false" outlineLevel="0" collapsed="false">
      <c r="A856" s="1" t="n">
        <v>17</v>
      </c>
      <c r="B856" s="1" t="s">
        <v>128</v>
      </c>
      <c r="C856" s="1" t="s">
        <v>355</v>
      </c>
      <c r="D856" s="23"/>
      <c r="G856" s="21" t="n">
        <f aca="false">K856/3.1416</f>
        <v>26.7379679144385</v>
      </c>
      <c r="H856" s="1" t="n">
        <v>25</v>
      </c>
      <c r="I856" s="1" t="s">
        <v>129</v>
      </c>
      <c r="J856" s="1" t="s">
        <v>149</v>
      </c>
      <c r="K856" s="1" t="n">
        <v>84</v>
      </c>
    </row>
    <row r="857" customFormat="false" ht="14.25" hidden="true" customHeight="false" outlineLevel="0" collapsed="false">
      <c r="A857" s="1" t="n">
        <v>18</v>
      </c>
      <c r="B857" s="1" t="s">
        <v>128</v>
      </c>
      <c r="C857" s="1" t="s">
        <v>355</v>
      </c>
      <c r="D857" s="23"/>
      <c r="G857" s="21" t="n">
        <f aca="false">K857/3.1416</f>
        <v>2.54647313470843</v>
      </c>
      <c r="H857" s="1" t="n">
        <v>5</v>
      </c>
      <c r="I857" s="1" t="s">
        <v>134</v>
      </c>
      <c r="J857" s="1" t="s">
        <v>149</v>
      </c>
      <c r="K857" s="1" t="n">
        <v>8</v>
      </c>
    </row>
    <row r="858" customFormat="false" ht="14.25" hidden="true" customHeight="false" outlineLevel="0" collapsed="false">
      <c r="A858" s="1" t="n">
        <v>18</v>
      </c>
      <c r="B858" s="1" t="s">
        <v>128</v>
      </c>
      <c r="C858" s="1" t="s">
        <v>355</v>
      </c>
      <c r="D858" s="23"/>
      <c r="E858" s="1" t="s">
        <v>174</v>
      </c>
      <c r="F858" s="1" t="s">
        <v>120</v>
      </c>
      <c r="G858" s="21" t="n">
        <f aca="false">K858/3.1416</f>
        <v>3.18309141838554</v>
      </c>
      <c r="H858" s="1" t="n">
        <v>5</v>
      </c>
      <c r="I858" s="1" t="s">
        <v>127</v>
      </c>
      <c r="J858" s="1" t="s">
        <v>149</v>
      </c>
      <c r="K858" s="1" t="n">
        <v>10</v>
      </c>
    </row>
    <row r="859" customFormat="false" ht="14.25" hidden="true" customHeight="false" outlineLevel="0" collapsed="false">
      <c r="A859" s="1" t="n">
        <v>20</v>
      </c>
      <c r="B859" s="1" t="s">
        <v>128</v>
      </c>
      <c r="C859" s="1" t="s">
        <v>355</v>
      </c>
      <c r="D859" s="23"/>
      <c r="G859" s="21" t="n">
        <f aca="false">K859/3.1416</f>
        <v>3.18309141838554</v>
      </c>
      <c r="H859" s="1" t="n">
        <v>6</v>
      </c>
      <c r="I859" s="1" t="s">
        <v>129</v>
      </c>
      <c r="J859" s="1" t="s">
        <v>149</v>
      </c>
      <c r="K859" s="1" t="n">
        <v>10</v>
      </c>
    </row>
    <row r="860" customFormat="false" ht="14.25" hidden="true" customHeight="false" outlineLevel="0" collapsed="false">
      <c r="A860" s="1" t="n">
        <v>21</v>
      </c>
      <c r="B860" s="1" t="s">
        <v>135</v>
      </c>
      <c r="C860" s="1" t="s">
        <v>355</v>
      </c>
      <c r="D860" s="23"/>
      <c r="G860" s="21" t="n">
        <f aca="false">K860/3.1416</f>
        <v>25.7830404889228</v>
      </c>
      <c r="H860" s="1" t="n">
        <v>20</v>
      </c>
      <c r="I860" s="1" t="s">
        <v>129</v>
      </c>
      <c r="J860" s="1" t="s">
        <v>149</v>
      </c>
      <c r="K860" s="1" t="n">
        <v>81</v>
      </c>
    </row>
    <row r="861" customFormat="false" ht="14.25" hidden="true" customHeight="false" outlineLevel="0" collapsed="false">
      <c r="A861" s="1" t="n">
        <v>23</v>
      </c>
      <c r="B861" s="1" t="s">
        <v>135</v>
      </c>
      <c r="C861" s="1" t="s">
        <v>355</v>
      </c>
      <c r="D861" s="23"/>
      <c r="G861" s="21" t="n">
        <f aca="false">K861/3.1416</f>
        <v>4.1380188439012</v>
      </c>
      <c r="H861" s="1" t="n">
        <v>6</v>
      </c>
      <c r="I861" s="1" t="s">
        <v>129</v>
      </c>
      <c r="J861" s="1" t="s">
        <v>149</v>
      </c>
      <c r="K861" s="1" t="n">
        <v>13</v>
      </c>
    </row>
    <row r="862" customFormat="false" ht="14.25" hidden="true" customHeight="false" outlineLevel="0" collapsed="false">
      <c r="A862" s="1" t="n">
        <v>24</v>
      </c>
      <c r="B862" s="1" t="s">
        <v>135</v>
      </c>
      <c r="C862" s="1" t="s">
        <v>355</v>
      </c>
      <c r="D862" s="23"/>
      <c r="E862" s="1" t="s">
        <v>174</v>
      </c>
      <c r="F862" s="1" t="s">
        <v>120</v>
      </c>
      <c r="G862" s="21" t="n">
        <f aca="false">K862/3.1416</f>
        <v>2.86478227654698</v>
      </c>
      <c r="H862" s="1" t="n">
        <v>4</v>
      </c>
      <c r="I862" s="1" t="s">
        <v>129</v>
      </c>
      <c r="J862" s="1" t="s">
        <v>149</v>
      </c>
      <c r="K862" s="1" t="n">
        <v>9</v>
      </c>
    </row>
    <row r="863" customFormat="false" ht="14.25" hidden="true" customHeight="false" outlineLevel="0" collapsed="false">
      <c r="A863" s="1" t="n">
        <v>25</v>
      </c>
      <c r="B863" s="1" t="s">
        <v>135</v>
      </c>
      <c r="C863" s="1" t="s">
        <v>355</v>
      </c>
      <c r="D863" s="23"/>
      <c r="G863" s="21" t="n">
        <f aca="false">K863/3.1416</f>
        <v>6.36618283677107</v>
      </c>
      <c r="H863" s="1" t="n">
        <v>7</v>
      </c>
      <c r="I863" s="1" t="s">
        <v>127</v>
      </c>
      <c r="J863" s="1" t="s">
        <v>149</v>
      </c>
      <c r="K863" s="1" t="n">
        <v>20</v>
      </c>
    </row>
    <row r="864" customFormat="false" ht="14.25" hidden="true" customHeight="false" outlineLevel="0" collapsed="false">
      <c r="A864" s="1" t="n">
        <v>25</v>
      </c>
      <c r="B864" s="1" t="s">
        <v>135</v>
      </c>
      <c r="C864" s="1" t="s">
        <v>355</v>
      </c>
      <c r="D864" s="23" t="s">
        <v>277</v>
      </c>
      <c r="E864" s="1" t="s">
        <v>167</v>
      </c>
      <c r="G864" s="21" t="n">
        <f aca="false">K864/3.1416</f>
        <v>2.54647313470843</v>
      </c>
      <c r="H864" s="1" t="n">
        <v>3</v>
      </c>
      <c r="I864" s="1" t="s">
        <v>127</v>
      </c>
      <c r="J864" s="1" t="s">
        <v>149</v>
      </c>
      <c r="K864" s="1" t="n">
        <v>8</v>
      </c>
    </row>
    <row r="865" customFormat="false" ht="14.25" hidden="true" customHeight="false" outlineLevel="0" collapsed="false">
      <c r="A865" s="1" t="n">
        <v>26</v>
      </c>
      <c r="B865" s="1" t="s">
        <v>135</v>
      </c>
      <c r="C865" s="1" t="s">
        <v>355</v>
      </c>
      <c r="D865" s="23" t="s">
        <v>274</v>
      </c>
      <c r="E865" s="1" t="s">
        <v>275</v>
      </c>
      <c r="F865" s="1" t="s">
        <v>120</v>
      </c>
      <c r="G865" s="21" t="n">
        <f aca="false">K865/3.1416</f>
        <v>2.54647313470843</v>
      </c>
      <c r="H865" s="1" t="n">
        <v>3</v>
      </c>
      <c r="I865" s="1" t="s">
        <v>127</v>
      </c>
      <c r="J865" s="1" t="s">
        <v>149</v>
      </c>
      <c r="K865" s="1" t="n">
        <v>8</v>
      </c>
    </row>
    <row r="866" customFormat="false" ht="14.25" hidden="true" customHeight="false" outlineLevel="0" collapsed="false">
      <c r="A866" s="1" t="n">
        <v>27</v>
      </c>
      <c r="B866" s="1" t="s">
        <v>82</v>
      </c>
      <c r="C866" s="1" t="s">
        <v>355</v>
      </c>
      <c r="D866" s="23"/>
      <c r="G866" s="21" t="n">
        <f aca="false">K866/3.1416</f>
        <v>14.0056022408964</v>
      </c>
      <c r="H866" s="1" t="n">
        <v>20</v>
      </c>
      <c r="I866" s="1" t="s">
        <v>129</v>
      </c>
      <c r="J866" s="1" t="s">
        <v>149</v>
      </c>
      <c r="K866" s="1" t="n">
        <v>44</v>
      </c>
    </row>
    <row r="867" customFormat="false" ht="14.25" hidden="true" customHeight="false" outlineLevel="0" collapsed="false">
      <c r="A867" s="1" t="n">
        <v>28</v>
      </c>
      <c r="B867" s="1" t="s">
        <v>82</v>
      </c>
      <c r="C867" s="1" t="s">
        <v>355</v>
      </c>
      <c r="D867" s="23"/>
      <c r="E867" s="1" t="s">
        <v>174</v>
      </c>
      <c r="F867" s="1" t="s">
        <v>120</v>
      </c>
      <c r="G867" s="21" t="n">
        <f aca="false">K867/3.1416</f>
        <v>3.81970970206264</v>
      </c>
      <c r="H867" s="1" t="n">
        <v>7</v>
      </c>
      <c r="I867" s="1" t="s">
        <v>129</v>
      </c>
      <c r="J867" s="1" t="s">
        <v>149</v>
      </c>
      <c r="K867" s="1" t="n">
        <v>12</v>
      </c>
    </row>
    <row r="868" customFormat="false" ht="14.25" hidden="true" customHeight="false" outlineLevel="0" collapsed="false">
      <c r="A868" s="1" t="n">
        <v>29</v>
      </c>
      <c r="B868" s="1" t="s">
        <v>131</v>
      </c>
      <c r="C868" s="1" t="s">
        <v>355</v>
      </c>
      <c r="D868" s="23" t="s">
        <v>235</v>
      </c>
      <c r="E868" s="1" t="s">
        <v>156</v>
      </c>
      <c r="F868" s="1" t="s">
        <v>138</v>
      </c>
      <c r="G868" s="21" t="n">
        <f aca="false">K868/3.1416</f>
        <v>4.1380188439012</v>
      </c>
      <c r="H868" s="1" t="n">
        <v>6</v>
      </c>
      <c r="I868" s="1" t="s">
        <v>129</v>
      </c>
      <c r="J868" s="1" t="s">
        <v>149</v>
      </c>
      <c r="K868" s="1" t="n">
        <v>13</v>
      </c>
    </row>
    <row r="869" customFormat="false" ht="14.25" hidden="true" customHeight="false" outlineLevel="0" collapsed="false">
      <c r="A869" s="1" t="n">
        <v>29</v>
      </c>
      <c r="B869" s="1" t="s">
        <v>131</v>
      </c>
      <c r="C869" s="1" t="s">
        <v>355</v>
      </c>
      <c r="D869" s="23" t="s">
        <v>235</v>
      </c>
      <c r="E869" s="1" t="s">
        <v>156</v>
      </c>
      <c r="F869" s="1" t="s">
        <v>138</v>
      </c>
      <c r="G869" s="21" t="n">
        <f aca="false">K869/3.1416</f>
        <v>3.81970970206264</v>
      </c>
      <c r="H869" s="1" t="n">
        <v>6</v>
      </c>
      <c r="I869" s="1" t="s">
        <v>127</v>
      </c>
      <c r="J869" s="1" t="s">
        <v>149</v>
      </c>
      <c r="K869" s="1" t="n">
        <v>12</v>
      </c>
    </row>
    <row r="870" customFormat="false" ht="14.25" hidden="true" customHeight="false" outlineLevel="0" collapsed="false">
      <c r="A870" s="1" t="n">
        <v>29</v>
      </c>
      <c r="B870" s="1" t="s">
        <v>131</v>
      </c>
      <c r="C870" s="1" t="s">
        <v>355</v>
      </c>
      <c r="D870" s="23"/>
      <c r="G870" s="21" t="n">
        <f aca="false">K870/3.1416</f>
        <v>3.81970970206264</v>
      </c>
      <c r="H870" s="1" t="n">
        <v>7</v>
      </c>
      <c r="I870" s="1" t="s">
        <v>129</v>
      </c>
      <c r="J870" s="1" t="s">
        <v>149</v>
      </c>
      <c r="K870" s="1" t="n">
        <v>12</v>
      </c>
    </row>
    <row r="871" customFormat="false" ht="14.25" hidden="true" customHeight="false" outlineLevel="0" collapsed="false">
      <c r="A871" s="1" t="n">
        <v>29</v>
      </c>
      <c r="B871" s="1" t="s">
        <v>131</v>
      </c>
      <c r="C871" s="1" t="s">
        <v>355</v>
      </c>
      <c r="D871" s="23"/>
      <c r="G871" s="21" t="n">
        <f aca="false">K871/3.1416</f>
        <v>2.86478227654698</v>
      </c>
      <c r="H871" s="1" t="n">
        <v>7</v>
      </c>
      <c r="I871" s="1" t="s">
        <v>129</v>
      </c>
      <c r="J871" s="1" t="s">
        <v>149</v>
      </c>
      <c r="K871" s="1" t="n">
        <v>9</v>
      </c>
    </row>
    <row r="872" customFormat="false" ht="14.25" hidden="true" customHeight="false" outlineLevel="0" collapsed="false">
      <c r="A872" s="1" t="n">
        <v>30</v>
      </c>
      <c r="B872" s="1" t="s">
        <v>131</v>
      </c>
      <c r="C872" s="1" t="s">
        <v>355</v>
      </c>
      <c r="D872" s="23"/>
      <c r="G872" s="21" t="n">
        <f aca="false">K872/3.1416</f>
        <v>4.1380188439012</v>
      </c>
      <c r="H872" s="1" t="n">
        <v>10</v>
      </c>
      <c r="I872" s="1" t="s">
        <v>129</v>
      </c>
      <c r="J872" s="1" t="s">
        <v>149</v>
      </c>
      <c r="K872" s="1" t="n">
        <v>13</v>
      </c>
    </row>
    <row r="873" customFormat="false" ht="14.25" hidden="true" customHeight="false" outlineLevel="0" collapsed="false">
      <c r="A873" s="1" t="n">
        <v>30</v>
      </c>
      <c r="B873" s="1" t="s">
        <v>131</v>
      </c>
      <c r="C873" s="1" t="s">
        <v>355</v>
      </c>
      <c r="D873" s="23"/>
      <c r="G873" s="21" t="n">
        <f aca="false">K873/3.1416</f>
        <v>2.54647313470843</v>
      </c>
      <c r="H873" s="1" t="n">
        <v>6</v>
      </c>
      <c r="I873" s="1" t="s">
        <v>129</v>
      </c>
      <c r="J873" s="1" t="s">
        <v>149</v>
      </c>
      <c r="K873" s="1" t="n">
        <v>8</v>
      </c>
    </row>
    <row r="874" customFormat="false" ht="14.25" hidden="true" customHeight="false" outlineLevel="0" collapsed="false">
      <c r="A874" s="1" t="n">
        <v>30</v>
      </c>
      <c r="B874" s="1" t="s">
        <v>131</v>
      </c>
      <c r="C874" s="1" t="s">
        <v>355</v>
      </c>
      <c r="D874" s="23" t="s">
        <v>235</v>
      </c>
      <c r="E874" s="1" t="s">
        <v>156</v>
      </c>
      <c r="F874" s="1" t="s">
        <v>138</v>
      </c>
      <c r="G874" s="21" t="n">
        <f aca="false">K874/3.1416</f>
        <v>2.54647313470843</v>
      </c>
      <c r="H874" s="1" t="n">
        <v>4</v>
      </c>
      <c r="I874" s="1" t="s">
        <v>127</v>
      </c>
      <c r="J874" s="1" t="s">
        <v>149</v>
      </c>
      <c r="K874" s="1" t="n">
        <v>8</v>
      </c>
    </row>
    <row r="875" customFormat="false" ht="14.25" hidden="true" customHeight="false" outlineLevel="0" collapsed="false">
      <c r="A875" s="1" t="n">
        <v>30</v>
      </c>
      <c r="B875" s="1" t="s">
        <v>131</v>
      </c>
      <c r="C875" s="1" t="s">
        <v>355</v>
      </c>
      <c r="D875" s="23"/>
      <c r="G875" s="21" t="n">
        <f aca="false">K875/3.1416</f>
        <v>2.54647313470843</v>
      </c>
      <c r="H875" s="1" t="n">
        <v>6</v>
      </c>
      <c r="I875" s="1" t="s">
        <v>134</v>
      </c>
      <c r="J875" s="1" t="s">
        <v>149</v>
      </c>
      <c r="K875" s="1" t="n">
        <v>8</v>
      </c>
    </row>
    <row r="876" customFormat="false" ht="14.25" hidden="true" customHeight="false" outlineLevel="0" collapsed="false">
      <c r="A876" s="1" t="n">
        <v>30</v>
      </c>
      <c r="B876" s="1" t="s">
        <v>131</v>
      </c>
      <c r="C876" s="1" t="s">
        <v>355</v>
      </c>
      <c r="D876" s="23"/>
      <c r="G876" s="21" t="n">
        <f aca="false">K876/3.1416</f>
        <v>3.50140056022409</v>
      </c>
      <c r="H876" s="1" t="n">
        <v>6</v>
      </c>
      <c r="I876" s="1" t="s">
        <v>129</v>
      </c>
      <c r="J876" s="1" t="s">
        <v>149</v>
      </c>
      <c r="K876" s="1" t="n">
        <v>11</v>
      </c>
    </row>
    <row r="877" customFormat="false" ht="14.25" hidden="true" customHeight="false" outlineLevel="0" collapsed="false">
      <c r="A877" s="1" t="n">
        <v>31</v>
      </c>
      <c r="B877" s="1" t="s">
        <v>131</v>
      </c>
      <c r="C877" s="1" t="s">
        <v>355</v>
      </c>
      <c r="D877" s="23"/>
      <c r="E877" s="1" t="s">
        <v>157</v>
      </c>
      <c r="F877" s="1" t="s">
        <v>120</v>
      </c>
      <c r="G877" s="21" t="n">
        <f aca="false">K877/3.1416</f>
        <v>3.50140056022409</v>
      </c>
      <c r="H877" s="1" t="n">
        <v>7</v>
      </c>
      <c r="I877" s="1" t="s">
        <v>127</v>
      </c>
      <c r="J877" s="1" t="s">
        <v>149</v>
      </c>
      <c r="K877" s="1" t="n">
        <v>11</v>
      </c>
    </row>
    <row r="878" customFormat="false" ht="14.25" hidden="true" customHeight="false" outlineLevel="0" collapsed="false">
      <c r="A878" s="1" t="n">
        <v>20</v>
      </c>
      <c r="B878" s="1" t="s">
        <v>128</v>
      </c>
      <c r="C878" s="1" t="s">
        <v>357</v>
      </c>
      <c r="D878" s="23"/>
      <c r="G878" s="21" t="n">
        <f aca="false">K878/3.1416</f>
        <v>8.27603768780239</v>
      </c>
      <c r="H878" s="1" t="n">
        <v>7</v>
      </c>
      <c r="I878" s="1" t="s">
        <v>129</v>
      </c>
      <c r="J878" s="1" t="s">
        <v>149</v>
      </c>
      <c r="K878" s="1" t="n">
        <v>26</v>
      </c>
    </row>
    <row r="879" customFormat="false" ht="14.25" hidden="true" customHeight="false" outlineLevel="0" collapsed="false">
      <c r="A879" s="1" t="n">
        <v>7</v>
      </c>
      <c r="B879" s="1" t="s">
        <v>101</v>
      </c>
      <c r="C879" s="1" t="s">
        <v>358</v>
      </c>
      <c r="D879" s="23"/>
      <c r="E879" s="1" t="s">
        <v>174</v>
      </c>
      <c r="F879" s="1" t="s">
        <v>120</v>
      </c>
      <c r="G879" s="21" t="n">
        <f aca="false">ROUND(K879/PI(),0)</f>
        <v>10</v>
      </c>
      <c r="H879" s="1" t="n">
        <v>12</v>
      </c>
      <c r="I879" s="1" t="s">
        <v>129</v>
      </c>
      <c r="J879" s="1" t="s">
        <v>141</v>
      </c>
      <c r="K879" s="1" t="n">
        <v>32</v>
      </c>
    </row>
    <row r="880" customFormat="false" ht="14.25" hidden="true" customHeight="false" outlineLevel="0" collapsed="false">
      <c r="A880" s="1" t="n">
        <v>8</v>
      </c>
      <c r="B880" s="1" t="s">
        <v>101</v>
      </c>
      <c r="C880" s="1" t="s">
        <v>358</v>
      </c>
      <c r="D880" s="23" t="s">
        <v>199</v>
      </c>
      <c r="E880" s="1" t="s">
        <v>200</v>
      </c>
      <c r="F880" s="1" t="s">
        <v>120</v>
      </c>
      <c r="G880" s="21" t="n">
        <f aca="false">ROUND(K880/PI(),0)</f>
        <v>4</v>
      </c>
      <c r="H880" s="1" t="n">
        <v>7</v>
      </c>
      <c r="I880" s="1" t="s">
        <v>129</v>
      </c>
      <c r="J880" s="1" t="s">
        <v>152</v>
      </c>
      <c r="K880" s="1" t="n">
        <v>12</v>
      </c>
    </row>
    <row r="881" customFormat="false" ht="14.25" hidden="true" customHeight="false" outlineLevel="0" collapsed="false">
      <c r="A881" s="1" t="n">
        <v>8</v>
      </c>
      <c r="B881" s="1" t="s">
        <v>101</v>
      </c>
      <c r="C881" s="1" t="s">
        <v>359</v>
      </c>
      <c r="D881" s="23" t="s">
        <v>351</v>
      </c>
      <c r="E881" s="1" t="s">
        <v>313</v>
      </c>
      <c r="F881" s="1" t="s">
        <v>120</v>
      </c>
      <c r="G881" s="21" t="n">
        <f aca="false">ROUND(K881/PI(),0)</f>
        <v>3</v>
      </c>
      <c r="H881" s="1" t="n">
        <v>6</v>
      </c>
      <c r="I881" s="1" t="s">
        <v>127</v>
      </c>
      <c r="J881" s="1" t="s">
        <v>141</v>
      </c>
      <c r="K881" s="1" t="n">
        <v>10</v>
      </c>
    </row>
    <row r="882" customFormat="false" ht="14.25" hidden="true" customHeight="false" outlineLevel="0" collapsed="false">
      <c r="A882" s="1" t="n">
        <v>3</v>
      </c>
      <c r="B882" s="1" t="s">
        <v>122</v>
      </c>
      <c r="C882" s="1" t="s">
        <v>360</v>
      </c>
      <c r="D882" s="23" t="s">
        <v>173</v>
      </c>
      <c r="E882" s="1" t="s">
        <v>174</v>
      </c>
      <c r="G882" s="21" t="n">
        <f aca="false">K882/3.1416</f>
        <v>4.7746371275783</v>
      </c>
      <c r="H882" s="1" t="n">
        <v>0</v>
      </c>
      <c r="I882" s="2" t="s">
        <v>74</v>
      </c>
      <c r="J882" s="1" t="s">
        <v>361</v>
      </c>
      <c r="K882" s="1" t="n">
        <v>15</v>
      </c>
    </row>
    <row r="883" customFormat="false" ht="14.25" hidden="true" customHeight="false" outlineLevel="0" collapsed="false">
      <c r="A883" s="1" t="n">
        <v>15</v>
      </c>
      <c r="B883" s="1" t="s">
        <v>131</v>
      </c>
      <c r="C883" s="1" t="s">
        <v>360</v>
      </c>
      <c r="D883" s="23" t="s">
        <v>173</v>
      </c>
      <c r="E883" s="1" t="s">
        <v>174</v>
      </c>
      <c r="F883" s="1" t="s">
        <v>120</v>
      </c>
      <c r="G883" s="21" t="n">
        <f aca="false">K883/3.1416</f>
        <v>2.54647313470843</v>
      </c>
      <c r="H883" s="1" t="n">
        <v>5</v>
      </c>
      <c r="I883" s="1" t="s">
        <v>129</v>
      </c>
      <c r="J883" s="1" t="s">
        <v>361</v>
      </c>
      <c r="K883" s="1" t="n">
        <v>8</v>
      </c>
    </row>
    <row r="884" customFormat="false" ht="14.25" hidden="true" customHeight="false" outlineLevel="0" collapsed="false">
      <c r="A884" s="1" t="n">
        <v>15</v>
      </c>
      <c r="B884" s="1" t="s">
        <v>131</v>
      </c>
      <c r="C884" s="1" t="s">
        <v>360</v>
      </c>
      <c r="D884" s="23" t="s">
        <v>173</v>
      </c>
      <c r="E884" s="1" t="s">
        <v>174</v>
      </c>
      <c r="F884" s="1" t="s">
        <v>120</v>
      </c>
      <c r="G884" s="21" t="n">
        <f aca="false">K884/3.1416</f>
        <v>5.41125541125541</v>
      </c>
      <c r="H884" s="1" t="n">
        <v>7</v>
      </c>
      <c r="I884" s="1" t="s">
        <v>127</v>
      </c>
      <c r="J884" s="1" t="s">
        <v>361</v>
      </c>
      <c r="K884" s="1" t="n">
        <v>17</v>
      </c>
    </row>
    <row r="885" customFormat="false" ht="14.25" hidden="true" customHeight="false" outlineLevel="0" collapsed="false">
      <c r="A885" s="1" t="n">
        <v>15</v>
      </c>
      <c r="B885" s="1" t="s">
        <v>131</v>
      </c>
      <c r="C885" s="1" t="s">
        <v>360</v>
      </c>
      <c r="D885" s="23"/>
      <c r="E885" s="1" t="s">
        <v>174</v>
      </c>
      <c r="F885" s="1" t="s">
        <v>120</v>
      </c>
      <c r="G885" s="21" t="n">
        <f aca="false">K885/3.1416</f>
        <v>6.04787369493252</v>
      </c>
      <c r="H885" s="1" t="n">
        <v>7</v>
      </c>
      <c r="I885" s="1" t="s">
        <v>134</v>
      </c>
      <c r="J885" s="1" t="s">
        <v>361</v>
      </c>
      <c r="K885" s="1" t="n">
        <v>19</v>
      </c>
    </row>
    <row r="886" customFormat="false" ht="14.25" hidden="true" customHeight="false" outlineLevel="0" collapsed="false">
      <c r="A886" s="1" t="n">
        <v>17</v>
      </c>
      <c r="B886" s="1" t="s">
        <v>128</v>
      </c>
      <c r="C886" s="1" t="s">
        <v>360</v>
      </c>
      <c r="D886" s="23"/>
      <c r="E886" s="1" t="s">
        <v>174</v>
      </c>
      <c r="G886" s="21" t="n">
        <f aca="false">K886/3.1416</f>
        <v>5.72956455309397</v>
      </c>
      <c r="H886" s="1" t="n">
        <v>8</v>
      </c>
      <c r="I886" s="1" t="s">
        <v>129</v>
      </c>
      <c r="J886" s="1" t="s">
        <v>361</v>
      </c>
      <c r="K886" s="1" t="n">
        <v>18</v>
      </c>
    </row>
    <row r="887" customFormat="false" ht="14.25" hidden="true" customHeight="false" outlineLevel="0" collapsed="false">
      <c r="A887" s="1" t="n">
        <v>17</v>
      </c>
      <c r="B887" s="1" t="s">
        <v>128</v>
      </c>
      <c r="C887" s="1" t="s">
        <v>360</v>
      </c>
      <c r="D887" s="23"/>
      <c r="E887" s="1" t="s">
        <v>174</v>
      </c>
      <c r="G887" s="21" t="n">
        <f aca="false">K887/3.1416</f>
        <v>2.54647313470843</v>
      </c>
      <c r="H887" s="1" t="n">
        <v>5</v>
      </c>
      <c r="I887" s="1" t="s">
        <v>134</v>
      </c>
      <c r="J887" s="1" t="s">
        <v>361</v>
      </c>
      <c r="K887" s="1" t="n">
        <v>8</v>
      </c>
    </row>
    <row r="888" customFormat="false" ht="14.25" hidden="true" customHeight="false" outlineLevel="0" collapsed="false">
      <c r="A888" s="1" t="n">
        <v>17</v>
      </c>
      <c r="B888" s="1" t="s">
        <v>128</v>
      </c>
      <c r="C888" s="1" t="s">
        <v>360</v>
      </c>
      <c r="D888" s="23" t="s">
        <v>345</v>
      </c>
      <c r="E888" s="1" t="s">
        <v>174</v>
      </c>
      <c r="F888" s="1" t="s">
        <v>138</v>
      </c>
      <c r="G888" s="21" t="n">
        <f aca="false">K888/3.1416</f>
        <v>5.72956455309397</v>
      </c>
      <c r="H888" s="1" t="n">
        <v>7</v>
      </c>
      <c r="I888" s="1" t="s">
        <v>127</v>
      </c>
      <c r="J888" s="1" t="s">
        <v>361</v>
      </c>
      <c r="K888" s="1" t="n">
        <v>18</v>
      </c>
    </row>
    <row r="889" customFormat="false" ht="14.25" hidden="true" customHeight="false" outlineLevel="0" collapsed="false">
      <c r="A889" s="1" t="n">
        <v>18</v>
      </c>
      <c r="B889" s="1" t="s">
        <v>128</v>
      </c>
      <c r="C889" s="1" t="s">
        <v>360</v>
      </c>
      <c r="D889" s="23"/>
      <c r="E889" s="1" t="s">
        <v>174</v>
      </c>
      <c r="F889" s="1" t="s">
        <v>120</v>
      </c>
      <c r="G889" s="21" t="n">
        <f aca="false">K889/3.1416</f>
        <v>8.9126559714795</v>
      </c>
      <c r="H889" s="1" t="n">
        <v>8</v>
      </c>
      <c r="I889" s="1" t="s">
        <v>127</v>
      </c>
      <c r="J889" s="1" t="s">
        <v>361</v>
      </c>
      <c r="K889" s="1" t="n">
        <v>28</v>
      </c>
    </row>
    <row r="890" customFormat="false" ht="14.25" hidden="true" customHeight="false" outlineLevel="0" collapsed="false">
      <c r="A890" s="1" t="n">
        <v>18</v>
      </c>
      <c r="B890" s="1" t="s">
        <v>128</v>
      </c>
      <c r="C890" s="1" t="s">
        <v>360</v>
      </c>
      <c r="D890" s="23"/>
      <c r="E890" s="1" t="s">
        <v>174</v>
      </c>
      <c r="G890" s="21" t="n">
        <f aca="false">K890/3.1416</f>
        <v>5.72956455309397</v>
      </c>
      <c r="H890" s="1" t="n">
        <v>7</v>
      </c>
      <c r="I890" s="1" t="s">
        <v>127</v>
      </c>
      <c r="J890" s="1" t="s">
        <v>361</v>
      </c>
      <c r="K890" s="1" t="n">
        <v>18</v>
      </c>
    </row>
    <row r="891" customFormat="false" ht="14.25" hidden="true" customHeight="false" outlineLevel="0" collapsed="false">
      <c r="A891" s="1" t="n">
        <v>19</v>
      </c>
      <c r="B891" s="1" t="s">
        <v>128</v>
      </c>
      <c r="C891" s="1" t="s">
        <v>360</v>
      </c>
      <c r="D891" s="23" t="s">
        <v>277</v>
      </c>
      <c r="E891" s="1" t="s">
        <v>167</v>
      </c>
      <c r="F891" s="1" t="s">
        <v>138</v>
      </c>
      <c r="G891" s="21" t="n">
        <f aca="false">K891/3.1416</f>
        <v>16.5520753756048</v>
      </c>
      <c r="H891" s="1" t="n">
        <v>8</v>
      </c>
      <c r="I891" s="1" t="s">
        <v>129</v>
      </c>
      <c r="J891" s="1" t="s">
        <v>361</v>
      </c>
      <c r="K891" s="1" t="n">
        <v>52</v>
      </c>
    </row>
    <row r="892" customFormat="false" ht="14.25" hidden="true" customHeight="false" outlineLevel="0" collapsed="false">
      <c r="A892" s="1" t="n">
        <v>20</v>
      </c>
      <c r="B892" s="1" t="s">
        <v>128</v>
      </c>
      <c r="C892" s="1" t="s">
        <v>360</v>
      </c>
      <c r="D892" s="23"/>
      <c r="E892" s="1" t="s">
        <v>174</v>
      </c>
      <c r="F892" s="1" t="s">
        <v>120</v>
      </c>
      <c r="G892" s="21" t="n">
        <f aca="false">K892/3.1416</f>
        <v>3.18309141838554</v>
      </c>
      <c r="H892" s="1" t="n">
        <v>5</v>
      </c>
      <c r="I892" s="1" t="s">
        <v>129</v>
      </c>
      <c r="J892" s="1" t="s">
        <v>361</v>
      </c>
      <c r="K892" s="1" t="n">
        <v>10</v>
      </c>
    </row>
    <row r="893" customFormat="false" ht="14.25" hidden="true" customHeight="false" outlineLevel="0" collapsed="false">
      <c r="A893" s="1" t="n">
        <v>22</v>
      </c>
      <c r="B893" s="1" t="s">
        <v>135</v>
      </c>
      <c r="C893" s="1" t="s">
        <v>360</v>
      </c>
      <c r="D893" s="23"/>
      <c r="E893" s="1" t="s">
        <v>174</v>
      </c>
      <c r="F893" s="1" t="s">
        <v>120</v>
      </c>
      <c r="G893" s="21" t="n">
        <f aca="false">K893/3.1416</f>
        <v>6.04787369493252</v>
      </c>
      <c r="H893" s="1" t="n">
        <v>7</v>
      </c>
      <c r="I893" s="1" t="s">
        <v>129</v>
      </c>
      <c r="J893" s="1" t="s">
        <v>361</v>
      </c>
      <c r="K893" s="1" t="n">
        <v>19</v>
      </c>
    </row>
    <row r="894" customFormat="false" ht="14.25" hidden="true" customHeight="false" outlineLevel="0" collapsed="false">
      <c r="A894" s="1" t="n">
        <v>23</v>
      </c>
      <c r="B894" s="1" t="s">
        <v>135</v>
      </c>
      <c r="C894" s="1" t="s">
        <v>360</v>
      </c>
      <c r="D894" s="23"/>
      <c r="E894" s="1" t="s">
        <v>174</v>
      </c>
      <c r="G894" s="21" t="n">
        <f aca="false">K894/3.1416</f>
        <v>3.81970970206264</v>
      </c>
      <c r="H894" s="1" t="n">
        <v>5</v>
      </c>
      <c r="I894" s="1" t="s">
        <v>129</v>
      </c>
      <c r="J894" s="1" t="s">
        <v>361</v>
      </c>
      <c r="K894" s="1" t="n">
        <v>12</v>
      </c>
    </row>
    <row r="895" customFormat="false" ht="14.25" hidden="true" customHeight="false" outlineLevel="0" collapsed="false">
      <c r="A895" s="1" t="n">
        <v>25</v>
      </c>
      <c r="B895" s="1" t="s">
        <v>135</v>
      </c>
      <c r="C895" s="1" t="s">
        <v>360</v>
      </c>
      <c r="D895" s="23" t="s">
        <v>277</v>
      </c>
      <c r="E895" s="1" t="s">
        <v>167</v>
      </c>
      <c r="G895" s="21" t="n">
        <f aca="false">K895/3.1416</f>
        <v>2.54647313470843</v>
      </c>
      <c r="H895" s="1" t="n">
        <v>4</v>
      </c>
      <c r="I895" s="1" t="s">
        <v>129</v>
      </c>
      <c r="J895" s="1" t="s">
        <v>361</v>
      </c>
      <c r="K895" s="1" t="n">
        <v>8</v>
      </c>
    </row>
    <row r="896" customFormat="false" ht="14.25" hidden="true" customHeight="false" outlineLevel="0" collapsed="false">
      <c r="A896" s="1" t="n">
        <v>27</v>
      </c>
      <c r="B896" s="1" t="s">
        <v>82</v>
      </c>
      <c r="C896" s="1" t="s">
        <v>360</v>
      </c>
      <c r="D896" s="23"/>
      <c r="E896" s="1" t="s">
        <v>174</v>
      </c>
      <c r="F896" s="1" t="s">
        <v>120</v>
      </c>
      <c r="G896" s="21" t="n">
        <f aca="false">K896/3.1416</f>
        <v>6.68449197860963</v>
      </c>
      <c r="H896" s="1" t="n">
        <v>11</v>
      </c>
      <c r="I896" s="1" t="s">
        <v>129</v>
      </c>
      <c r="J896" s="1" t="s">
        <v>361</v>
      </c>
      <c r="K896" s="1" t="n">
        <v>21</v>
      </c>
    </row>
    <row r="897" customFormat="false" ht="14.25" hidden="true" customHeight="false" outlineLevel="0" collapsed="false">
      <c r="A897" s="1" t="n">
        <v>28</v>
      </c>
      <c r="B897" s="1" t="s">
        <v>82</v>
      </c>
      <c r="C897" s="1" t="s">
        <v>360</v>
      </c>
      <c r="D897" s="23"/>
      <c r="E897" s="1" t="s">
        <v>174</v>
      </c>
      <c r="F897" s="1" t="s">
        <v>120</v>
      </c>
      <c r="G897" s="21" t="n">
        <f aca="false">K897/3.1416</f>
        <v>4.45632798573975</v>
      </c>
      <c r="H897" s="1" t="n">
        <v>6</v>
      </c>
      <c r="I897" s="1" t="s">
        <v>127</v>
      </c>
      <c r="J897" s="1" t="s">
        <v>361</v>
      </c>
      <c r="K897" s="1" t="n">
        <v>14</v>
      </c>
    </row>
    <row r="898" customFormat="false" ht="14.25" hidden="true" customHeight="false" outlineLevel="0" collapsed="false">
      <c r="A898" s="1" t="n">
        <v>29</v>
      </c>
      <c r="B898" s="1" t="s">
        <v>131</v>
      </c>
      <c r="C898" s="1" t="s">
        <v>360</v>
      </c>
      <c r="D898" s="23" t="s">
        <v>345</v>
      </c>
      <c r="E898" s="1" t="s">
        <v>174</v>
      </c>
      <c r="F898" s="1" t="s">
        <v>138</v>
      </c>
      <c r="G898" s="21" t="n">
        <f aca="false">K898/3.1416</f>
        <v>3.18309141838554</v>
      </c>
      <c r="H898" s="1" t="n">
        <v>5</v>
      </c>
      <c r="I898" s="1" t="s">
        <v>129</v>
      </c>
      <c r="J898" s="1" t="s">
        <v>361</v>
      </c>
      <c r="K898" s="1" t="n">
        <v>10</v>
      </c>
    </row>
    <row r="899" customFormat="false" ht="14.25" hidden="true" customHeight="false" outlineLevel="0" collapsed="false">
      <c r="A899" s="1" t="n">
        <v>30</v>
      </c>
      <c r="B899" s="1" t="s">
        <v>131</v>
      </c>
      <c r="C899" s="1" t="s">
        <v>360</v>
      </c>
      <c r="D899" s="23" t="s">
        <v>345</v>
      </c>
      <c r="E899" s="1" t="s">
        <v>174</v>
      </c>
      <c r="F899" s="1" t="s">
        <v>138</v>
      </c>
      <c r="G899" s="21" t="n">
        <f aca="false">K899/3.1416</f>
        <v>2.54647313470843</v>
      </c>
      <c r="H899" s="1" t="n">
        <v>5</v>
      </c>
      <c r="I899" s="1" t="s">
        <v>129</v>
      </c>
      <c r="J899" s="1" t="s">
        <v>361</v>
      </c>
      <c r="K899" s="1" t="n">
        <v>8</v>
      </c>
    </row>
    <row r="900" customFormat="false" ht="14.25" hidden="true" customHeight="false" outlineLevel="0" collapsed="false">
      <c r="A900" s="1" t="n">
        <v>31</v>
      </c>
      <c r="B900" s="1" t="s">
        <v>131</v>
      </c>
      <c r="C900" s="1" t="s">
        <v>360</v>
      </c>
      <c r="D900" s="23" t="s">
        <v>173</v>
      </c>
      <c r="E900" s="1" t="s">
        <v>174</v>
      </c>
      <c r="G900" s="21" t="n">
        <f aca="false">K900/3.1416</f>
        <v>8.59434682964095</v>
      </c>
      <c r="H900" s="1" t="n">
        <v>8</v>
      </c>
      <c r="I900" s="1" t="s">
        <v>129</v>
      </c>
      <c r="J900" s="1" t="s">
        <v>361</v>
      </c>
      <c r="K900" s="1" t="n">
        <v>27</v>
      </c>
    </row>
    <row r="901" customFormat="false" ht="14.25" hidden="true" customHeight="false" outlineLevel="0" collapsed="false">
      <c r="A901" s="1" t="n">
        <v>2</v>
      </c>
      <c r="B901" s="1" t="s">
        <v>72</v>
      </c>
      <c r="C901" s="1" t="s">
        <v>360</v>
      </c>
      <c r="D901" s="23" t="s">
        <v>173</v>
      </c>
      <c r="E901" s="1" t="s">
        <v>174</v>
      </c>
      <c r="F901" s="1" t="s">
        <v>120</v>
      </c>
      <c r="G901" s="21" t="n">
        <f aca="false">ROUND(K901/PI(),0)</f>
        <v>23</v>
      </c>
      <c r="H901" s="1" t="n">
        <v>15</v>
      </c>
      <c r="I901" s="1" t="s">
        <v>129</v>
      </c>
      <c r="J901" s="1" t="s">
        <v>162</v>
      </c>
      <c r="K901" s="1" t="n">
        <v>71</v>
      </c>
    </row>
    <row r="902" customFormat="false" ht="14.25" hidden="true" customHeight="false" outlineLevel="0" collapsed="false">
      <c r="A902" s="1" t="n">
        <v>1</v>
      </c>
      <c r="B902" s="1" t="s">
        <v>72</v>
      </c>
      <c r="C902" s="1" t="s">
        <v>362</v>
      </c>
      <c r="D902" s="23" t="s">
        <v>345</v>
      </c>
      <c r="E902" s="1" t="s">
        <v>174</v>
      </c>
      <c r="F902" s="1" t="s">
        <v>138</v>
      </c>
      <c r="G902" s="21" t="n">
        <f aca="false">ROUND(K902/PI(),0)</f>
        <v>3</v>
      </c>
      <c r="H902" s="1" t="n">
        <v>4</v>
      </c>
      <c r="I902" s="1" t="s">
        <v>129</v>
      </c>
      <c r="J902" s="1" t="s">
        <v>162</v>
      </c>
      <c r="K902" s="1" t="n">
        <v>9</v>
      </c>
    </row>
    <row r="903" customFormat="false" ht="14.25" hidden="true" customHeight="false" outlineLevel="0" collapsed="false">
      <c r="A903" s="1" t="n">
        <v>2</v>
      </c>
      <c r="B903" s="1" t="s">
        <v>72</v>
      </c>
      <c r="C903" s="1" t="s">
        <v>362</v>
      </c>
      <c r="D903" s="23" t="s">
        <v>173</v>
      </c>
      <c r="E903" s="1" t="s">
        <v>174</v>
      </c>
      <c r="F903" s="1" t="s">
        <v>120</v>
      </c>
      <c r="G903" s="21" t="n">
        <f aca="false">ROUND(K903/PI(),0)</f>
        <v>8</v>
      </c>
      <c r="H903" s="1" t="n">
        <v>10</v>
      </c>
      <c r="I903" s="1" t="s">
        <v>129</v>
      </c>
      <c r="J903" s="1" t="s">
        <v>162</v>
      </c>
      <c r="K903" s="1" t="n">
        <v>24</v>
      </c>
    </row>
    <row r="904" customFormat="false" ht="14.25" hidden="true" customHeight="false" outlineLevel="0" collapsed="false">
      <c r="A904" s="1" t="n">
        <v>2</v>
      </c>
      <c r="B904" s="1" t="s">
        <v>82</v>
      </c>
      <c r="C904" s="1" t="s">
        <v>363</v>
      </c>
      <c r="D904" s="23"/>
      <c r="E904" s="1" t="s">
        <v>174</v>
      </c>
      <c r="G904" s="21" t="n">
        <f aca="false">K904/3.1416</f>
        <v>7.32111026228673</v>
      </c>
      <c r="H904" s="1" t="n">
        <v>0</v>
      </c>
      <c r="I904" s="2" t="s">
        <v>74</v>
      </c>
      <c r="J904" s="1" t="s">
        <v>361</v>
      </c>
      <c r="K904" s="1" t="n">
        <v>23</v>
      </c>
    </row>
    <row r="905" customFormat="false" ht="14.25" hidden="true" customHeight="false" outlineLevel="0" collapsed="false">
      <c r="A905" s="1" t="n">
        <v>4</v>
      </c>
      <c r="B905" s="1" t="s">
        <v>82</v>
      </c>
      <c r="C905" s="1" t="s">
        <v>364</v>
      </c>
      <c r="D905" s="23"/>
      <c r="G905" s="21" t="n">
        <f aca="false">ROUND(K905/PI(),0)</f>
        <v>12</v>
      </c>
      <c r="H905" s="1" t="n">
        <v>10</v>
      </c>
      <c r="I905" s="1" t="s">
        <v>129</v>
      </c>
      <c r="J905" s="1" t="s">
        <v>152</v>
      </c>
      <c r="K905" s="1" t="n">
        <v>39</v>
      </c>
    </row>
    <row r="906" customFormat="false" ht="14.25" hidden="true" customHeight="false" outlineLevel="0" collapsed="false">
      <c r="A906" s="1" t="n">
        <v>4</v>
      </c>
      <c r="B906" s="1" t="s">
        <v>82</v>
      </c>
      <c r="C906" s="1" t="s">
        <v>365</v>
      </c>
      <c r="D906" s="23"/>
      <c r="G906" s="21" t="n">
        <f aca="false">ROUND(K906/PI(),0)</f>
        <v>46</v>
      </c>
      <c r="H906" s="1" t="n">
        <v>17</v>
      </c>
      <c r="I906" s="1" t="s">
        <v>129</v>
      </c>
      <c r="J906" s="1" t="s">
        <v>162</v>
      </c>
      <c r="K906" s="1" t="n">
        <v>144</v>
      </c>
    </row>
    <row r="907" customFormat="false" ht="14.25" hidden="true" customHeight="false" outlineLevel="0" collapsed="false">
      <c r="A907" s="1" t="n">
        <v>3</v>
      </c>
      <c r="B907" s="1" t="s">
        <v>122</v>
      </c>
      <c r="C907" s="1" t="s">
        <v>366</v>
      </c>
      <c r="D907" s="23"/>
      <c r="G907" s="21" t="n">
        <f aca="false">K907/3.1416</f>
        <v>4.7746371275783</v>
      </c>
      <c r="H907" s="1" t="n">
        <v>0</v>
      </c>
      <c r="I907" s="2" t="s">
        <v>74</v>
      </c>
      <c r="J907" s="1" t="s">
        <v>130</v>
      </c>
      <c r="K907" s="1" t="n">
        <v>15</v>
      </c>
    </row>
    <row r="908" customFormat="false" ht="14.25" hidden="true" customHeight="false" outlineLevel="0" collapsed="false">
      <c r="A908" s="1" t="n">
        <v>6</v>
      </c>
      <c r="B908" s="1" t="s">
        <v>92</v>
      </c>
      <c r="C908" s="1" t="s">
        <v>366</v>
      </c>
      <c r="D908" s="23"/>
      <c r="G908" s="21" t="n">
        <f aca="false">ROUND(K908/PI(),0)</f>
        <v>3</v>
      </c>
      <c r="H908" s="1" t="n">
        <v>5</v>
      </c>
      <c r="I908" s="1" t="s">
        <v>129</v>
      </c>
      <c r="J908" s="1" t="s">
        <v>152</v>
      </c>
      <c r="K908" s="1" t="n">
        <v>10</v>
      </c>
    </row>
    <row r="909" customFormat="false" ht="14.25" hidden="true" customHeight="false" outlineLevel="0" collapsed="false">
      <c r="A909" s="1" t="n">
        <v>6</v>
      </c>
      <c r="B909" s="1" t="s">
        <v>92</v>
      </c>
      <c r="C909" s="1" t="s">
        <v>366</v>
      </c>
      <c r="D909" s="23"/>
      <c r="G909" s="21" t="n">
        <f aca="false">ROUND(K909/PI(),0)</f>
        <v>6</v>
      </c>
      <c r="H909" s="1" t="n">
        <v>7</v>
      </c>
      <c r="I909" s="1" t="s">
        <v>129</v>
      </c>
      <c r="J909" s="1" t="s">
        <v>152</v>
      </c>
      <c r="K909" s="1" t="n">
        <v>18</v>
      </c>
    </row>
    <row r="910" customFormat="false" ht="14.25" hidden="true" customHeight="false" outlineLevel="0" collapsed="false">
      <c r="A910" s="1" t="n">
        <v>21</v>
      </c>
      <c r="B910" s="1" t="s">
        <v>135</v>
      </c>
      <c r="C910" s="1" t="s">
        <v>367</v>
      </c>
      <c r="D910" s="23" t="s">
        <v>368</v>
      </c>
      <c r="E910" s="1" t="s">
        <v>283</v>
      </c>
      <c r="F910" s="1" t="s">
        <v>197</v>
      </c>
      <c r="G910" s="21" t="n">
        <f aca="false">K910/3.1416</f>
        <v>2.54647313470843</v>
      </c>
      <c r="H910" s="1" t="n">
        <v>5</v>
      </c>
      <c r="I910" s="1" t="s">
        <v>129</v>
      </c>
      <c r="J910" s="1" t="s">
        <v>184</v>
      </c>
      <c r="K910" s="1" t="n">
        <v>8</v>
      </c>
    </row>
    <row r="911" customFormat="false" ht="14.25" hidden="true" customHeight="false" outlineLevel="0" collapsed="false">
      <c r="A911" s="1" t="n">
        <v>2</v>
      </c>
      <c r="B911" s="1" t="s">
        <v>72</v>
      </c>
      <c r="C911" s="1" t="s">
        <v>369</v>
      </c>
      <c r="D911" s="23"/>
      <c r="E911" s="1" t="s">
        <v>124</v>
      </c>
      <c r="F911" s="1" t="s">
        <v>120</v>
      </c>
      <c r="G911" s="21" t="n">
        <f aca="false">ROUND(K911/PI(),0)</f>
        <v>3</v>
      </c>
      <c r="H911" s="1" t="n">
        <v>5</v>
      </c>
      <c r="I911" s="1" t="s">
        <v>129</v>
      </c>
      <c r="J911" s="1" t="s">
        <v>162</v>
      </c>
      <c r="K911" s="1" t="n">
        <v>9</v>
      </c>
    </row>
    <row r="912" customFormat="false" ht="14.25" hidden="true" customHeight="false" outlineLevel="0" collapsed="false">
      <c r="A912" s="1" t="n">
        <v>1</v>
      </c>
      <c r="B912" s="1" t="s">
        <v>82</v>
      </c>
      <c r="C912" s="1" t="s">
        <v>370</v>
      </c>
      <c r="D912" s="23" t="s">
        <v>132</v>
      </c>
      <c r="E912" s="1" t="s">
        <v>133</v>
      </c>
      <c r="F912" s="2" t="s">
        <v>120</v>
      </c>
      <c r="G912" s="21" t="n">
        <f aca="false">K912/3.1416</f>
        <v>5.09294626941686</v>
      </c>
      <c r="H912" s="1" t="n">
        <v>0</v>
      </c>
      <c r="I912" s="2" t="s">
        <v>74</v>
      </c>
      <c r="J912" s="1" t="s">
        <v>237</v>
      </c>
      <c r="K912" s="1" t="n">
        <v>16</v>
      </c>
    </row>
    <row r="913" customFormat="false" ht="14.25" hidden="true" customHeight="false" outlineLevel="0" collapsed="false">
      <c r="A913" s="1" t="n">
        <v>1</v>
      </c>
      <c r="B913" s="1" t="s">
        <v>82</v>
      </c>
      <c r="C913" s="1" t="s">
        <v>370</v>
      </c>
      <c r="D913" s="23" t="s">
        <v>132</v>
      </c>
      <c r="E913" s="1" t="s">
        <v>133</v>
      </c>
      <c r="F913" s="2" t="s">
        <v>120</v>
      </c>
      <c r="G913" s="21" t="n">
        <f aca="false">K913/3.1416</f>
        <v>5.09294626941686</v>
      </c>
      <c r="H913" s="1" t="n">
        <v>0</v>
      </c>
      <c r="I913" s="2" t="s">
        <v>74</v>
      </c>
      <c r="J913" s="1" t="s">
        <v>237</v>
      </c>
      <c r="K913" s="1" t="n">
        <v>16</v>
      </c>
    </row>
    <row r="914" customFormat="false" ht="14.25" hidden="true" customHeight="false" outlineLevel="0" collapsed="false">
      <c r="A914" s="1" t="n">
        <v>1</v>
      </c>
      <c r="B914" s="1" t="s">
        <v>82</v>
      </c>
      <c r="C914" s="1" t="s">
        <v>370</v>
      </c>
      <c r="D914" s="23" t="s">
        <v>132</v>
      </c>
      <c r="E914" s="1" t="s">
        <v>133</v>
      </c>
      <c r="F914" s="2" t="s">
        <v>120</v>
      </c>
      <c r="G914" s="21" t="n">
        <f aca="false">K914/3.1416</f>
        <v>5.09294626941686</v>
      </c>
      <c r="H914" s="1" t="n">
        <v>0</v>
      </c>
      <c r="I914" s="2" t="s">
        <v>74</v>
      </c>
      <c r="J914" s="1" t="s">
        <v>237</v>
      </c>
      <c r="K914" s="1" t="n">
        <v>16</v>
      </c>
    </row>
    <row r="915" customFormat="false" ht="14.25" hidden="true" customHeight="false" outlineLevel="0" collapsed="false">
      <c r="A915" s="1" t="n">
        <v>6</v>
      </c>
      <c r="B915" s="1" t="s">
        <v>122</v>
      </c>
      <c r="C915" s="1" t="s">
        <v>370</v>
      </c>
      <c r="D915" s="23" t="s">
        <v>132</v>
      </c>
      <c r="E915" s="1" t="s">
        <v>133</v>
      </c>
      <c r="F915" s="2" t="s">
        <v>120</v>
      </c>
      <c r="G915" s="21" t="n">
        <f aca="false">K915/3.1416</f>
        <v>5.41125541125541</v>
      </c>
      <c r="H915" s="1" t="n">
        <v>10</v>
      </c>
      <c r="I915" s="2" t="s">
        <v>74</v>
      </c>
      <c r="J915" s="1" t="s">
        <v>237</v>
      </c>
      <c r="K915" s="1" t="n">
        <v>17</v>
      </c>
    </row>
    <row r="916" customFormat="false" ht="14.25" hidden="true" customHeight="false" outlineLevel="0" collapsed="false">
      <c r="A916" s="1" t="n">
        <v>7</v>
      </c>
      <c r="B916" s="1" t="s">
        <v>122</v>
      </c>
      <c r="C916" s="1" t="s">
        <v>370</v>
      </c>
      <c r="D916" s="23" t="s">
        <v>132</v>
      </c>
      <c r="E916" s="1" t="s">
        <v>133</v>
      </c>
      <c r="F916" s="2" t="s">
        <v>120</v>
      </c>
      <c r="G916" s="21" t="n">
        <f aca="false">K916/3.1416</f>
        <v>5.72956455309397</v>
      </c>
      <c r="H916" s="1" t="n">
        <v>8</v>
      </c>
      <c r="I916" s="2" t="s">
        <v>74</v>
      </c>
      <c r="J916" s="1" t="s">
        <v>237</v>
      </c>
      <c r="K916" s="1" t="n">
        <v>18</v>
      </c>
    </row>
    <row r="917" customFormat="false" ht="14.25" hidden="true" customHeight="false" outlineLevel="0" collapsed="false">
      <c r="A917" s="1" t="n">
        <v>8</v>
      </c>
      <c r="B917" s="1" t="s">
        <v>122</v>
      </c>
      <c r="C917" s="1" t="s">
        <v>370</v>
      </c>
      <c r="D917" s="23"/>
      <c r="G917" s="21" t="n">
        <f aca="false">K917/3.1416</f>
        <v>4.1380188439012</v>
      </c>
      <c r="H917" s="1" t="n">
        <v>3</v>
      </c>
      <c r="I917" s="2" t="s">
        <v>127</v>
      </c>
      <c r="J917" s="1" t="s">
        <v>237</v>
      </c>
      <c r="K917" s="1" t="n">
        <v>13</v>
      </c>
    </row>
    <row r="918" customFormat="false" ht="14.25" hidden="true" customHeight="false" outlineLevel="0" collapsed="false">
      <c r="A918" s="1" t="n">
        <v>8</v>
      </c>
      <c r="B918" s="1" t="s">
        <v>122</v>
      </c>
      <c r="C918" s="1" t="s">
        <v>370</v>
      </c>
      <c r="D918" s="23"/>
      <c r="G918" s="21" t="n">
        <f aca="false">K918/3.1416</f>
        <v>5.72956455309397</v>
      </c>
      <c r="H918" s="1" t="n">
        <v>6</v>
      </c>
      <c r="I918" s="2" t="s">
        <v>127</v>
      </c>
      <c r="J918" s="1" t="s">
        <v>237</v>
      </c>
      <c r="K918" s="1" t="n">
        <v>18</v>
      </c>
    </row>
    <row r="919" customFormat="false" ht="14.25" hidden="true" customHeight="false" outlineLevel="0" collapsed="false">
      <c r="A919" s="1" t="n">
        <v>8</v>
      </c>
      <c r="B919" s="1" t="s">
        <v>122</v>
      </c>
      <c r="C919" s="1" t="s">
        <v>370</v>
      </c>
      <c r="D919" s="23"/>
      <c r="G919" s="21" t="n">
        <f aca="false">K919/3.1416</f>
        <v>4.1380188439012</v>
      </c>
      <c r="H919" s="1" t="n">
        <v>5</v>
      </c>
      <c r="I919" s="2" t="s">
        <v>129</v>
      </c>
      <c r="J919" s="1" t="s">
        <v>237</v>
      </c>
      <c r="K919" s="1" t="n">
        <v>13</v>
      </c>
    </row>
    <row r="920" customFormat="false" ht="14.25" hidden="true" customHeight="false" outlineLevel="0" collapsed="false">
      <c r="A920" s="1" t="n">
        <v>9</v>
      </c>
      <c r="B920" s="1" t="s">
        <v>122</v>
      </c>
      <c r="C920" s="1" t="s">
        <v>370</v>
      </c>
      <c r="D920" s="23"/>
      <c r="G920" s="21" t="n">
        <f aca="false">K920/3.1416</f>
        <v>6.36618283677107</v>
      </c>
      <c r="H920" s="1" t="n">
        <v>10</v>
      </c>
      <c r="I920" s="2" t="s">
        <v>129</v>
      </c>
      <c r="J920" s="1" t="s">
        <v>237</v>
      </c>
      <c r="K920" s="1" t="n">
        <v>20</v>
      </c>
    </row>
    <row r="921" customFormat="false" ht="14.25" hidden="true" customHeight="false" outlineLevel="0" collapsed="false">
      <c r="A921" s="1" t="n">
        <v>9</v>
      </c>
      <c r="B921" s="1" t="s">
        <v>122</v>
      </c>
      <c r="C921" s="1" t="s">
        <v>370</v>
      </c>
      <c r="D921" s="23"/>
      <c r="G921" s="21" t="n">
        <f aca="false">K921/3.1416</f>
        <v>5.09294626941686</v>
      </c>
      <c r="H921" s="1" t="n">
        <v>4</v>
      </c>
      <c r="I921" s="2" t="s">
        <v>134</v>
      </c>
      <c r="J921" s="1" t="s">
        <v>237</v>
      </c>
      <c r="K921" s="1" t="n">
        <v>16</v>
      </c>
    </row>
    <row r="922" customFormat="false" ht="14.25" hidden="true" customHeight="false" outlineLevel="0" collapsed="false">
      <c r="A922" s="1" t="n">
        <v>10</v>
      </c>
      <c r="B922" s="1" t="s">
        <v>82</v>
      </c>
      <c r="C922" s="1" t="s">
        <v>370</v>
      </c>
      <c r="D922" s="23" t="s">
        <v>212</v>
      </c>
      <c r="E922" s="1" t="s">
        <v>124</v>
      </c>
      <c r="F922" s="1" t="s">
        <v>138</v>
      </c>
      <c r="G922" s="21" t="n">
        <f aca="false">K922/3.1416</f>
        <v>2.54647313470843</v>
      </c>
      <c r="H922" s="1" t="n">
        <v>2.3</v>
      </c>
      <c r="I922" s="2" t="s">
        <v>129</v>
      </c>
      <c r="J922" s="1" t="s">
        <v>237</v>
      </c>
      <c r="K922" s="1" t="n">
        <v>8</v>
      </c>
    </row>
    <row r="923" customFormat="false" ht="14.25" hidden="true" customHeight="false" outlineLevel="0" collapsed="false">
      <c r="A923" s="1" t="n">
        <v>10</v>
      </c>
      <c r="B923" s="1" t="s">
        <v>82</v>
      </c>
      <c r="C923" s="1" t="s">
        <v>370</v>
      </c>
      <c r="D923" s="23"/>
      <c r="G923" s="21" t="n">
        <f aca="false">K923/3.1416</f>
        <v>10.1858925388337</v>
      </c>
      <c r="H923" s="1" t="n">
        <v>10</v>
      </c>
      <c r="I923" s="1" t="s">
        <v>129</v>
      </c>
      <c r="J923" s="1" t="s">
        <v>237</v>
      </c>
      <c r="K923" s="1" t="n">
        <v>32</v>
      </c>
    </row>
    <row r="924" customFormat="false" ht="15.65" hidden="true" customHeight="false" outlineLevel="0" collapsed="false">
      <c r="A924" s="1" t="n">
        <v>11</v>
      </c>
      <c r="B924" s="1" t="s">
        <v>82</v>
      </c>
      <c r="C924" s="1" t="s">
        <v>370</v>
      </c>
      <c r="D924" s="24" t="s">
        <v>371</v>
      </c>
      <c r="E924" s="1" t="s">
        <v>156</v>
      </c>
      <c r="F924" s="1" t="s">
        <v>138</v>
      </c>
      <c r="G924" s="21" t="n">
        <f aca="false">K924/3.1416</f>
        <v>4.7746371275783</v>
      </c>
      <c r="H924" s="1" t="n">
        <v>6</v>
      </c>
      <c r="I924" s="1" t="s">
        <v>129</v>
      </c>
      <c r="J924" s="1" t="s">
        <v>237</v>
      </c>
      <c r="K924" s="1" t="n">
        <v>15</v>
      </c>
    </row>
    <row r="925" customFormat="false" ht="14.25" hidden="true" customHeight="false" outlineLevel="0" collapsed="false">
      <c r="A925" s="1" t="n">
        <v>13</v>
      </c>
      <c r="B925" s="1" t="s">
        <v>128</v>
      </c>
      <c r="C925" s="1" t="s">
        <v>370</v>
      </c>
      <c r="D925" s="23"/>
      <c r="G925" s="21" t="n">
        <f aca="false">2*K925/3.1416</f>
        <v>91.6730328495034</v>
      </c>
      <c r="H925" s="1" t="n">
        <v>15</v>
      </c>
      <c r="I925" s="1" t="s">
        <v>129</v>
      </c>
      <c r="J925" s="1" t="s">
        <v>237</v>
      </c>
      <c r="K925" s="1" t="n">
        <v>144</v>
      </c>
    </row>
    <row r="926" customFormat="false" ht="14.25" hidden="true" customHeight="false" outlineLevel="0" collapsed="false">
      <c r="A926" s="1" t="n">
        <v>14</v>
      </c>
      <c r="B926" s="1" t="s">
        <v>131</v>
      </c>
      <c r="C926" s="1" t="s">
        <v>370</v>
      </c>
      <c r="D926" s="23" t="s">
        <v>189</v>
      </c>
      <c r="E926" s="1" t="s">
        <v>145</v>
      </c>
      <c r="F926" s="1" t="s">
        <v>120</v>
      </c>
      <c r="G926" s="21" t="n">
        <f aca="false">K926/3.1416</f>
        <v>12.7323656735421</v>
      </c>
      <c r="H926" s="1" t="n">
        <v>12</v>
      </c>
      <c r="I926" s="1" t="s">
        <v>129</v>
      </c>
      <c r="J926" s="1" t="s">
        <v>237</v>
      </c>
      <c r="K926" s="1" t="n">
        <v>40</v>
      </c>
    </row>
    <row r="927" customFormat="false" ht="14.25" hidden="true" customHeight="false" outlineLevel="0" collapsed="false">
      <c r="A927" s="1" t="n">
        <v>14</v>
      </c>
      <c r="B927" s="1" t="s">
        <v>131</v>
      </c>
      <c r="C927" s="1" t="s">
        <v>370</v>
      </c>
      <c r="D927" s="23" t="s">
        <v>189</v>
      </c>
      <c r="E927" s="1" t="s">
        <v>145</v>
      </c>
      <c r="F927" s="1" t="s">
        <v>120</v>
      </c>
      <c r="G927" s="21" t="n">
        <f aca="false">K927/3.1416</f>
        <v>9.86758339699516</v>
      </c>
      <c r="H927" s="1" t="n">
        <v>15</v>
      </c>
      <c r="I927" s="1" t="s">
        <v>129</v>
      </c>
      <c r="J927" s="1" t="s">
        <v>237</v>
      </c>
      <c r="K927" s="1" t="n">
        <v>31</v>
      </c>
    </row>
    <row r="928" customFormat="false" ht="14.25" hidden="true" customHeight="false" outlineLevel="0" collapsed="false">
      <c r="A928" s="1" t="n">
        <v>14</v>
      </c>
      <c r="B928" s="1" t="s">
        <v>131</v>
      </c>
      <c r="C928" s="1" t="s">
        <v>370</v>
      </c>
      <c r="D928" s="23" t="s">
        <v>189</v>
      </c>
      <c r="E928" s="1" t="s">
        <v>145</v>
      </c>
      <c r="F928" s="1" t="s">
        <v>120</v>
      </c>
      <c r="G928" s="21" t="n">
        <f aca="false">K928/3.1416</f>
        <v>6.68449197860963</v>
      </c>
      <c r="H928" s="1" t="n">
        <v>7</v>
      </c>
      <c r="I928" s="1" t="s">
        <v>129</v>
      </c>
      <c r="J928" s="1" t="s">
        <v>237</v>
      </c>
      <c r="K928" s="1" t="n">
        <v>21</v>
      </c>
    </row>
    <row r="929" customFormat="false" ht="14.25" hidden="true" customHeight="false" outlineLevel="0" collapsed="false">
      <c r="A929" s="1" t="n">
        <v>14</v>
      </c>
      <c r="B929" s="1" t="s">
        <v>131</v>
      </c>
      <c r="C929" s="1" t="s">
        <v>370</v>
      </c>
      <c r="D929" s="23" t="s">
        <v>189</v>
      </c>
      <c r="E929" s="1" t="s">
        <v>145</v>
      </c>
      <c r="F929" s="1" t="s">
        <v>120</v>
      </c>
      <c r="G929" s="21" t="n">
        <f aca="false">K929/3.1416</f>
        <v>4.45632798573975</v>
      </c>
      <c r="H929" s="1" t="n">
        <v>6</v>
      </c>
      <c r="I929" s="1" t="s">
        <v>129</v>
      </c>
      <c r="J929" s="1" t="s">
        <v>237</v>
      </c>
      <c r="K929" s="1" t="n">
        <v>14</v>
      </c>
    </row>
    <row r="930" customFormat="false" ht="14.25" hidden="true" customHeight="false" outlineLevel="0" collapsed="false">
      <c r="A930" s="1" t="n">
        <v>15</v>
      </c>
      <c r="B930" s="1" t="s">
        <v>131</v>
      </c>
      <c r="C930" s="1" t="s">
        <v>370</v>
      </c>
      <c r="D930" s="23"/>
      <c r="G930" s="21" t="n">
        <f aca="false">K930/3.1416</f>
        <v>4.7746371275783</v>
      </c>
      <c r="H930" s="1" t="n">
        <v>8</v>
      </c>
      <c r="I930" s="1" t="s">
        <v>129</v>
      </c>
      <c r="J930" s="1" t="s">
        <v>237</v>
      </c>
      <c r="K930" s="1" t="n">
        <v>15</v>
      </c>
    </row>
    <row r="931" customFormat="false" ht="14.25" hidden="true" customHeight="false" outlineLevel="0" collapsed="false">
      <c r="A931" s="1" t="n">
        <v>16</v>
      </c>
      <c r="B931" s="1" t="s">
        <v>131</v>
      </c>
      <c r="C931" s="1" t="s">
        <v>370</v>
      </c>
      <c r="D931" s="23"/>
      <c r="G931" s="21" t="n">
        <f aca="false">K931/3.1416</f>
        <v>5.09294626941686</v>
      </c>
      <c r="H931" s="1" t="n">
        <v>7</v>
      </c>
      <c r="I931" s="1" t="s">
        <v>129</v>
      </c>
      <c r="J931" s="1" t="s">
        <v>237</v>
      </c>
      <c r="K931" s="1" t="n">
        <v>16</v>
      </c>
    </row>
    <row r="932" customFormat="false" ht="14.25" hidden="true" customHeight="false" outlineLevel="0" collapsed="false">
      <c r="A932" s="1" t="n">
        <v>16</v>
      </c>
      <c r="B932" s="1" t="s">
        <v>131</v>
      </c>
      <c r="C932" s="1" t="s">
        <v>370</v>
      </c>
      <c r="D932" s="23"/>
      <c r="G932" s="21" t="n">
        <f aca="false">K932/3.1416</f>
        <v>3.50140056022409</v>
      </c>
      <c r="H932" s="1" t="n">
        <v>5</v>
      </c>
      <c r="I932" s="1" t="s">
        <v>129</v>
      </c>
      <c r="J932" s="1" t="s">
        <v>237</v>
      </c>
      <c r="K932" s="1" t="n">
        <v>11</v>
      </c>
    </row>
    <row r="933" customFormat="false" ht="14.25" hidden="true" customHeight="false" outlineLevel="0" collapsed="false">
      <c r="A933" s="1" t="n">
        <v>17</v>
      </c>
      <c r="B933" s="1" t="s">
        <v>128</v>
      </c>
      <c r="C933" s="1" t="s">
        <v>370</v>
      </c>
      <c r="D933" s="23"/>
      <c r="G933" s="21" t="n">
        <f aca="false">K933/3.1416</f>
        <v>3.50140056022409</v>
      </c>
      <c r="H933" s="1" t="n">
        <v>7</v>
      </c>
      <c r="I933" s="1" t="s">
        <v>127</v>
      </c>
      <c r="J933" s="1" t="s">
        <v>237</v>
      </c>
      <c r="K933" s="1" t="n">
        <v>11</v>
      </c>
    </row>
    <row r="934" customFormat="false" ht="14.25" hidden="true" customHeight="false" outlineLevel="0" collapsed="false">
      <c r="A934" s="1" t="n">
        <v>17</v>
      </c>
      <c r="B934" s="1" t="s">
        <v>128</v>
      </c>
      <c r="C934" s="1" t="s">
        <v>370</v>
      </c>
      <c r="D934" s="23"/>
      <c r="G934" s="21" t="n">
        <f aca="false">K934/3.1416</f>
        <v>4.7746371275783</v>
      </c>
      <c r="H934" s="1" t="n">
        <v>7</v>
      </c>
      <c r="I934" s="1" t="s">
        <v>129</v>
      </c>
      <c r="J934" s="1" t="s">
        <v>237</v>
      </c>
      <c r="K934" s="1" t="n">
        <v>15</v>
      </c>
    </row>
    <row r="935" customFormat="false" ht="14.25" hidden="true" customHeight="false" outlineLevel="0" collapsed="false">
      <c r="A935" s="1" t="n">
        <v>18</v>
      </c>
      <c r="B935" s="1" t="s">
        <v>128</v>
      </c>
      <c r="C935" s="1" t="s">
        <v>370</v>
      </c>
      <c r="D935" s="23"/>
      <c r="G935" s="21" t="n">
        <f aca="false">K935/3.1416</f>
        <v>3.50140056022409</v>
      </c>
      <c r="H935" s="1" t="n">
        <v>6</v>
      </c>
      <c r="I935" s="1" t="s">
        <v>134</v>
      </c>
      <c r="J935" s="1" t="s">
        <v>237</v>
      </c>
      <c r="K935" s="1" t="n">
        <v>11</v>
      </c>
    </row>
    <row r="936" customFormat="false" ht="14.25" hidden="true" customHeight="false" outlineLevel="0" collapsed="false">
      <c r="A936" s="1" t="n">
        <v>21</v>
      </c>
      <c r="B936" s="1" t="s">
        <v>135</v>
      </c>
      <c r="C936" s="1" t="s">
        <v>370</v>
      </c>
      <c r="D936" s="23"/>
      <c r="E936" s="1" t="s">
        <v>145</v>
      </c>
      <c r="F936" s="1" t="s">
        <v>120</v>
      </c>
      <c r="G936" s="21" t="n">
        <f aca="false">K936/3.1416</f>
        <v>2.54647313470843</v>
      </c>
      <c r="H936" s="1" t="n">
        <v>2.5</v>
      </c>
      <c r="I936" s="1" t="s">
        <v>127</v>
      </c>
      <c r="J936" s="1" t="s">
        <v>237</v>
      </c>
      <c r="K936" s="1" t="n">
        <v>8</v>
      </c>
    </row>
    <row r="937" customFormat="false" ht="14.25" hidden="true" customHeight="false" outlineLevel="0" collapsed="false">
      <c r="A937" s="1" t="n">
        <v>22</v>
      </c>
      <c r="B937" s="1" t="s">
        <v>135</v>
      </c>
      <c r="C937" s="1" t="s">
        <v>370</v>
      </c>
      <c r="D937" s="23"/>
      <c r="G937" s="21" t="n">
        <f aca="false">K937/3.1416</f>
        <v>40.1069518716578</v>
      </c>
      <c r="H937" s="1" t="n">
        <v>20</v>
      </c>
      <c r="I937" s="1" t="s">
        <v>129</v>
      </c>
      <c r="J937" s="1" t="s">
        <v>237</v>
      </c>
      <c r="K937" s="1" t="n">
        <v>126</v>
      </c>
    </row>
    <row r="938" customFormat="false" ht="14.25" hidden="true" customHeight="false" outlineLevel="0" collapsed="false">
      <c r="A938" s="1" t="n">
        <v>22</v>
      </c>
      <c r="B938" s="1" t="s">
        <v>135</v>
      </c>
      <c r="C938" s="1" t="s">
        <v>370</v>
      </c>
      <c r="D938" s="23" t="s">
        <v>132</v>
      </c>
      <c r="E938" s="1" t="s">
        <v>133</v>
      </c>
      <c r="F938" s="1" t="s">
        <v>120</v>
      </c>
      <c r="G938" s="21" t="n">
        <f aca="false">K938/3.1416</f>
        <v>2.86478227654698</v>
      </c>
      <c r="H938" s="1" t="n">
        <v>4</v>
      </c>
      <c r="I938" s="1" t="s">
        <v>129</v>
      </c>
      <c r="J938" s="1" t="s">
        <v>237</v>
      </c>
      <c r="K938" s="1" t="n">
        <v>9</v>
      </c>
    </row>
    <row r="939" customFormat="false" ht="14.25" hidden="true" customHeight="false" outlineLevel="0" collapsed="false">
      <c r="A939" s="1" t="n">
        <v>23</v>
      </c>
      <c r="B939" s="1" t="s">
        <v>135</v>
      </c>
      <c r="C939" s="1" t="s">
        <v>370</v>
      </c>
      <c r="D939" s="23"/>
      <c r="G939" s="21" t="n">
        <f aca="false">K939/3.1416</f>
        <v>5.41125541125541</v>
      </c>
      <c r="H939" s="1" t="n">
        <v>7</v>
      </c>
      <c r="I939" s="1" t="s">
        <v>129</v>
      </c>
      <c r="J939" s="1" t="s">
        <v>237</v>
      </c>
      <c r="K939" s="1" t="n">
        <v>17</v>
      </c>
    </row>
    <row r="940" customFormat="false" ht="14.25" hidden="true" customHeight="false" outlineLevel="0" collapsed="false">
      <c r="A940" s="1" t="n">
        <v>24</v>
      </c>
      <c r="B940" s="1" t="s">
        <v>135</v>
      </c>
      <c r="C940" s="1" t="s">
        <v>370</v>
      </c>
      <c r="D940" s="23"/>
      <c r="E940" s="1" t="s">
        <v>372</v>
      </c>
      <c r="F940" s="1" t="s">
        <v>120</v>
      </c>
      <c r="G940" s="21" t="n">
        <f aca="false">K940/3.1416</f>
        <v>5.72956455309397</v>
      </c>
      <c r="H940" s="1" t="n">
        <v>7</v>
      </c>
      <c r="I940" s="1" t="s">
        <v>127</v>
      </c>
      <c r="J940" s="1" t="s">
        <v>237</v>
      </c>
      <c r="K940" s="1" t="n">
        <v>18</v>
      </c>
    </row>
    <row r="941" customFormat="false" ht="14.25" hidden="true" customHeight="false" outlineLevel="0" collapsed="false">
      <c r="A941" s="1" t="n">
        <v>25</v>
      </c>
      <c r="B941" s="1" t="s">
        <v>135</v>
      </c>
      <c r="C941" s="1" t="s">
        <v>370</v>
      </c>
      <c r="D941" s="23"/>
      <c r="G941" s="21" t="n">
        <f aca="false">K941/3.1416</f>
        <v>9.23096511331806</v>
      </c>
      <c r="H941" s="1" t="n">
        <v>8</v>
      </c>
      <c r="I941" s="1" t="s">
        <v>129</v>
      </c>
      <c r="J941" s="1" t="s">
        <v>237</v>
      </c>
      <c r="K941" s="1" t="n">
        <v>29</v>
      </c>
    </row>
    <row r="942" customFormat="false" ht="14.25" hidden="true" customHeight="false" outlineLevel="0" collapsed="false">
      <c r="A942" s="1" t="n">
        <v>27</v>
      </c>
      <c r="B942" s="1" t="s">
        <v>82</v>
      </c>
      <c r="C942" s="1" t="s">
        <v>370</v>
      </c>
      <c r="D942" s="23" t="s">
        <v>373</v>
      </c>
      <c r="E942" s="1" t="s">
        <v>219</v>
      </c>
      <c r="F942" s="1" t="s">
        <v>120</v>
      </c>
      <c r="G942" s="21" t="n">
        <f aca="false">K942/3.1416</f>
        <v>14.0056022408964</v>
      </c>
      <c r="H942" s="1" t="n">
        <v>15</v>
      </c>
      <c r="I942" s="1" t="s">
        <v>129</v>
      </c>
      <c r="J942" s="1" t="s">
        <v>237</v>
      </c>
      <c r="K942" s="1" t="n">
        <v>44</v>
      </c>
    </row>
    <row r="943" customFormat="false" ht="14.25" hidden="true" customHeight="false" outlineLevel="0" collapsed="false">
      <c r="A943" s="1" t="n">
        <v>27</v>
      </c>
      <c r="B943" s="1" t="s">
        <v>82</v>
      </c>
      <c r="C943" s="1" t="s">
        <v>370</v>
      </c>
      <c r="D943" s="23" t="s">
        <v>373</v>
      </c>
      <c r="E943" s="1" t="s">
        <v>219</v>
      </c>
      <c r="F943" s="1" t="s">
        <v>120</v>
      </c>
      <c r="G943" s="21" t="n">
        <f aca="false">K943/3.1416</f>
        <v>7.95772854596384</v>
      </c>
      <c r="H943" s="1" t="n">
        <v>12</v>
      </c>
      <c r="I943" s="1" t="s">
        <v>129</v>
      </c>
      <c r="J943" s="1" t="s">
        <v>237</v>
      </c>
      <c r="K943" s="1" t="n">
        <v>25</v>
      </c>
    </row>
    <row r="944" customFormat="false" ht="14.25" hidden="true" customHeight="false" outlineLevel="0" collapsed="false">
      <c r="A944" s="1" t="n">
        <v>27</v>
      </c>
      <c r="B944" s="1" t="s">
        <v>82</v>
      </c>
      <c r="C944" s="1" t="s">
        <v>370</v>
      </c>
      <c r="D944" s="23" t="s">
        <v>373</v>
      </c>
      <c r="E944" s="1" t="s">
        <v>219</v>
      </c>
      <c r="F944" s="1" t="s">
        <v>120</v>
      </c>
      <c r="G944" s="21" t="n">
        <f aca="false">K944/3.1416</f>
        <v>2.86478227654698</v>
      </c>
      <c r="H944" s="1" t="n">
        <v>5</v>
      </c>
      <c r="I944" s="1" t="s">
        <v>129</v>
      </c>
      <c r="J944" s="1" t="s">
        <v>237</v>
      </c>
      <c r="K944" s="1" t="n">
        <v>9</v>
      </c>
    </row>
    <row r="945" customFormat="false" ht="14.25" hidden="true" customHeight="false" outlineLevel="0" collapsed="false">
      <c r="A945" s="1" t="n">
        <v>28</v>
      </c>
      <c r="B945" s="1" t="s">
        <v>82</v>
      </c>
      <c r="C945" s="1" t="s">
        <v>370</v>
      </c>
      <c r="D945" s="23" t="s">
        <v>373</v>
      </c>
      <c r="E945" s="1" t="s">
        <v>219</v>
      </c>
      <c r="F945" s="1" t="s">
        <v>120</v>
      </c>
      <c r="G945" s="21" t="n">
        <f aca="false">K945/3.1416</f>
        <v>3.81970970206264</v>
      </c>
      <c r="H945" s="1" t="n">
        <v>7</v>
      </c>
      <c r="I945" s="1" t="s">
        <v>129</v>
      </c>
      <c r="J945" s="1" t="s">
        <v>237</v>
      </c>
      <c r="K945" s="1" t="n">
        <v>12</v>
      </c>
    </row>
    <row r="946" customFormat="false" ht="14.25" hidden="true" customHeight="false" outlineLevel="0" collapsed="false">
      <c r="A946" s="1" t="n">
        <v>28</v>
      </c>
      <c r="B946" s="1" t="s">
        <v>82</v>
      </c>
      <c r="C946" s="1" t="s">
        <v>370</v>
      </c>
      <c r="D946" s="23" t="s">
        <v>373</v>
      </c>
      <c r="E946" s="1" t="s">
        <v>219</v>
      </c>
      <c r="F946" s="1" t="s">
        <v>120</v>
      </c>
      <c r="G946" s="21" t="n">
        <f aca="false">K946/3.1416</f>
        <v>2.54647313470843</v>
      </c>
      <c r="H946" s="1" t="n">
        <v>7</v>
      </c>
      <c r="I946" s="1" t="s">
        <v>127</v>
      </c>
      <c r="J946" s="1" t="s">
        <v>237</v>
      </c>
      <c r="K946" s="1" t="n">
        <v>8</v>
      </c>
    </row>
    <row r="947" customFormat="false" ht="14.25" hidden="true" customHeight="false" outlineLevel="0" collapsed="false">
      <c r="A947" s="1" t="n">
        <v>29</v>
      </c>
      <c r="B947" s="1" t="s">
        <v>131</v>
      </c>
      <c r="C947" s="1" t="s">
        <v>370</v>
      </c>
      <c r="D947" s="23"/>
      <c r="G947" s="21" t="n">
        <f aca="false">K947/3.1416</f>
        <v>8.59434682964095</v>
      </c>
      <c r="H947" s="1" t="n">
        <v>8</v>
      </c>
      <c r="I947" s="1" t="s">
        <v>129</v>
      </c>
      <c r="J947" s="1" t="s">
        <v>237</v>
      </c>
      <c r="K947" s="1" t="n">
        <v>27</v>
      </c>
    </row>
    <row r="948" customFormat="false" ht="14.25" hidden="true" customHeight="false" outlineLevel="0" collapsed="false">
      <c r="A948" s="1" t="n">
        <v>29</v>
      </c>
      <c r="B948" s="1" t="s">
        <v>131</v>
      </c>
      <c r="C948" s="1" t="s">
        <v>370</v>
      </c>
      <c r="D948" s="23"/>
      <c r="G948" s="21" t="n">
        <f aca="false">K948/3.1416</f>
        <v>4.45632798573975</v>
      </c>
      <c r="H948" s="1" t="n">
        <v>10</v>
      </c>
      <c r="I948" s="1" t="s">
        <v>127</v>
      </c>
      <c r="J948" s="1" t="s">
        <v>237</v>
      </c>
      <c r="K948" s="1" t="n">
        <v>14</v>
      </c>
    </row>
    <row r="949" customFormat="false" ht="14.25" hidden="true" customHeight="false" outlineLevel="0" collapsed="false">
      <c r="A949" s="1" t="n">
        <v>2</v>
      </c>
      <c r="B949" s="1" t="s">
        <v>72</v>
      </c>
      <c r="C949" s="1" t="s">
        <v>370</v>
      </c>
      <c r="D949" s="23" t="s">
        <v>349</v>
      </c>
      <c r="E949" s="1" t="s">
        <v>350</v>
      </c>
      <c r="F949" s="1" t="s">
        <v>138</v>
      </c>
      <c r="G949" s="21" t="n">
        <f aca="false">ROUND(K949/PI(),0)</f>
        <v>3</v>
      </c>
      <c r="H949" s="1" t="n">
        <v>6</v>
      </c>
      <c r="I949" s="1" t="s">
        <v>129</v>
      </c>
      <c r="J949" s="1" t="s">
        <v>162</v>
      </c>
      <c r="K949" s="1" t="n">
        <v>9</v>
      </c>
    </row>
    <row r="950" customFormat="false" ht="14.25" hidden="true" customHeight="false" outlineLevel="0" collapsed="false">
      <c r="A950" s="1" t="n">
        <v>3</v>
      </c>
      <c r="B950" s="1" t="s">
        <v>82</v>
      </c>
      <c r="C950" s="1" t="s">
        <v>370</v>
      </c>
      <c r="D950" s="23" t="s">
        <v>349</v>
      </c>
      <c r="E950" s="1" t="s">
        <v>350</v>
      </c>
      <c r="F950" s="1" t="s">
        <v>138</v>
      </c>
      <c r="G950" s="21" t="n">
        <f aca="false">ROUND(K950/PI(),0)</f>
        <v>3</v>
      </c>
      <c r="H950" s="1" t="n">
        <v>6</v>
      </c>
      <c r="I950" s="1" t="s">
        <v>129</v>
      </c>
      <c r="J950" s="1" t="s">
        <v>162</v>
      </c>
      <c r="K950" s="1" t="n">
        <v>10</v>
      </c>
    </row>
    <row r="951" customFormat="false" ht="14.25" hidden="true" customHeight="false" outlineLevel="0" collapsed="false">
      <c r="A951" s="1" t="n">
        <v>3</v>
      </c>
      <c r="B951" s="1" t="s">
        <v>82</v>
      </c>
      <c r="C951" s="1" t="s">
        <v>370</v>
      </c>
      <c r="D951" s="23"/>
      <c r="G951" s="21" t="n">
        <f aca="false">ROUND(K951/PI(),0)</f>
        <v>5</v>
      </c>
      <c r="H951" s="1" t="n">
        <v>7</v>
      </c>
      <c r="I951" s="1" t="s">
        <v>134</v>
      </c>
      <c r="J951" s="1" t="s">
        <v>162</v>
      </c>
      <c r="K951" s="1" t="n">
        <v>16</v>
      </c>
    </row>
    <row r="952" customFormat="false" ht="14.25" hidden="true" customHeight="false" outlineLevel="0" collapsed="false">
      <c r="A952" s="1" t="n">
        <v>2</v>
      </c>
      <c r="B952" s="1" t="s">
        <v>72</v>
      </c>
      <c r="C952" s="1" t="s">
        <v>374</v>
      </c>
      <c r="D952" s="23"/>
      <c r="E952" s="1" t="s">
        <v>145</v>
      </c>
      <c r="F952" s="1" t="s">
        <v>120</v>
      </c>
      <c r="G952" s="21" t="n">
        <f aca="false">ROUND(K952/PI(),0)</f>
        <v>3</v>
      </c>
      <c r="H952" s="1" t="n">
        <v>6</v>
      </c>
      <c r="I952" s="1" t="s">
        <v>129</v>
      </c>
      <c r="J952" s="1" t="s">
        <v>162</v>
      </c>
      <c r="K952" s="1" t="n">
        <v>10</v>
      </c>
    </row>
    <row r="953" customFormat="false" ht="14.25" hidden="true" customHeight="false" outlineLevel="0" collapsed="false">
      <c r="A953" s="1" t="n">
        <v>7</v>
      </c>
      <c r="B953" s="1" t="s">
        <v>101</v>
      </c>
      <c r="C953" s="1" t="s">
        <v>375</v>
      </c>
      <c r="D953" s="23" t="s">
        <v>376</v>
      </c>
      <c r="E953" s="1" t="s">
        <v>210</v>
      </c>
      <c r="F953" s="1" t="s">
        <v>120</v>
      </c>
      <c r="G953" s="21" t="n">
        <f aca="false">ROUND(K953/PI(),0)</f>
        <v>5</v>
      </c>
      <c r="H953" s="1" t="n">
        <v>7</v>
      </c>
      <c r="I953" s="1" t="s">
        <v>129</v>
      </c>
      <c r="J953" s="1" t="s">
        <v>149</v>
      </c>
      <c r="K953" s="1" t="n">
        <v>17</v>
      </c>
    </row>
    <row r="954" customFormat="false" ht="14.25" hidden="true" customHeight="false" outlineLevel="0" collapsed="false">
      <c r="A954" s="1" t="n">
        <v>17</v>
      </c>
      <c r="B954" s="1" t="s">
        <v>128</v>
      </c>
      <c r="C954" s="1" t="s">
        <v>377</v>
      </c>
      <c r="D954" s="23" t="s">
        <v>321</v>
      </c>
      <c r="E954" s="1" t="s">
        <v>139</v>
      </c>
      <c r="F954" s="1" t="s">
        <v>120</v>
      </c>
      <c r="G954" s="21" t="n">
        <f aca="false">K954/3.1416</f>
        <v>3.18309141838554</v>
      </c>
      <c r="H954" s="1" t="n">
        <v>6</v>
      </c>
      <c r="I954" s="1" t="s">
        <v>127</v>
      </c>
      <c r="J954" s="1" t="s">
        <v>130</v>
      </c>
      <c r="K954" s="1" t="n">
        <v>10</v>
      </c>
    </row>
    <row r="955" customFormat="false" ht="14.25" hidden="true" customHeight="false" outlineLevel="0" collapsed="false">
      <c r="A955" s="1" t="n">
        <v>19</v>
      </c>
      <c r="B955" s="1" t="s">
        <v>128</v>
      </c>
      <c r="C955" s="1" t="s">
        <v>377</v>
      </c>
      <c r="D955" s="23" t="s">
        <v>378</v>
      </c>
      <c r="E955" s="1" t="s">
        <v>139</v>
      </c>
      <c r="F955" s="1" t="s">
        <v>120</v>
      </c>
      <c r="G955" s="21" t="n">
        <f aca="false">K955/3.1416</f>
        <v>3.81970970206264</v>
      </c>
      <c r="H955" s="1" t="n">
        <v>7</v>
      </c>
      <c r="I955" s="1" t="s">
        <v>129</v>
      </c>
      <c r="J955" s="1" t="s">
        <v>74</v>
      </c>
      <c r="K955" s="1" t="n">
        <v>12</v>
      </c>
    </row>
    <row r="956" customFormat="false" ht="14.25" hidden="true" customHeight="false" outlineLevel="0" collapsed="false">
      <c r="A956" s="1" t="n">
        <v>23</v>
      </c>
      <c r="B956" s="1" t="s">
        <v>135</v>
      </c>
      <c r="C956" s="1" t="s">
        <v>377</v>
      </c>
      <c r="D956" s="23" t="s">
        <v>321</v>
      </c>
      <c r="E956" s="1" t="s">
        <v>139</v>
      </c>
      <c r="F956" s="1" t="s">
        <v>120</v>
      </c>
      <c r="G956" s="21" t="n">
        <f aca="false">K956/3.1416</f>
        <v>2.54647313470843</v>
      </c>
      <c r="H956" s="1" t="n">
        <v>5</v>
      </c>
      <c r="I956" s="1" t="s">
        <v>127</v>
      </c>
      <c r="J956" s="1" t="s">
        <v>130</v>
      </c>
      <c r="K956" s="1" t="n">
        <v>8</v>
      </c>
    </row>
    <row r="957" customFormat="false" ht="14.25" hidden="true" customHeight="false" outlineLevel="0" collapsed="false">
      <c r="A957" s="1" t="n">
        <v>23</v>
      </c>
      <c r="B957" s="1" t="s">
        <v>135</v>
      </c>
      <c r="C957" s="1" t="s">
        <v>377</v>
      </c>
      <c r="D957" s="23" t="s">
        <v>321</v>
      </c>
      <c r="E957" s="1" t="s">
        <v>139</v>
      </c>
      <c r="F957" s="1" t="s">
        <v>120</v>
      </c>
      <c r="G957" s="21" t="n">
        <f aca="false">K957/3.1416</f>
        <v>2.54647313470843</v>
      </c>
      <c r="H957" s="1" t="n">
        <v>5</v>
      </c>
      <c r="I957" s="1" t="s">
        <v>127</v>
      </c>
      <c r="J957" s="1" t="s">
        <v>130</v>
      </c>
      <c r="K957" s="1" t="n">
        <v>8</v>
      </c>
    </row>
    <row r="958" customFormat="false" ht="14.25" hidden="true" customHeight="false" outlineLevel="0" collapsed="false">
      <c r="A958" s="1" t="n">
        <v>25</v>
      </c>
      <c r="B958" s="1" t="s">
        <v>135</v>
      </c>
      <c r="C958" s="1" t="s">
        <v>377</v>
      </c>
      <c r="D958" s="23" t="s">
        <v>321</v>
      </c>
      <c r="E958" s="1" t="s">
        <v>139</v>
      </c>
      <c r="F958" s="1" t="s">
        <v>120</v>
      </c>
      <c r="G958" s="21" t="n">
        <f aca="false">K958/3.1416</f>
        <v>4.45632798573975</v>
      </c>
      <c r="H958" s="1" t="n">
        <v>7</v>
      </c>
      <c r="I958" s="1" t="s">
        <v>234</v>
      </c>
      <c r="J958" s="1" t="s">
        <v>130</v>
      </c>
      <c r="K958" s="1" t="n">
        <v>14</v>
      </c>
    </row>
    <row r="959" customFormat="false" ht="14.25" hidden="true" customHeight="false" outlineLevel="0" collapsed="false">
      <c r="A959" s="1" t="n">
        <v>26</v>
      </c>
      <c r="B959" s="1" t="s">
        <v>135</v>
      </c>
      <c r="C959" s="1" t="s">
        <v>377</v>
      </c>
      <c r="D959" s="23" t="s">
        <v>321</v>
      </c>
      <c r="E959" s="1" t="s">
        <v>139</v>
      </c>
      <c r="F959" s="1" t="s">
        <v>120</v>
      </c>
      <c r="G959" s="21" t="n">
        <f aca="false">K959/3.1416</f>
        <v>2.54647313470843</v>
      </c>
      <c r="H959" s="1" t="n">
        <v>6</v>
      </c>
      <c r="I959" s="1" t="s">
        <v>129</v>
      </c>
      <c r="J959" s="1" t="s">
        <v>130</v>
      </c>
      <c r="K959" s="1" t="n">
        <v>8</v>
      </c>
    </row>
    <row r="960" customFormat="false" ht="14.25" hidden="true" customHeight="false" outlineLevel="0" collapsed="false">
      <c r="A960" s="1" t="n">
        <v>6</v>
      </c>
      <c r="B960" s="1" t="s">
        <v>92</v>
      </c>
      <c r="C960" s="1" t="s">
        <v>377</v>
      </c>
      <c r="D960" s="23" t="s">
        <v>321</v>
      </c>
      <c r="E960" s="1" t="s">
        <v>139</v>
      </c>
      <c r="F960" s="1" t="s">
        <v>120</v>
      </c>
      <c r="G960" s="21" t="n">
        <f aca="false">ROUND(K960/PI(),0)</f>
        <v>3</v>
      </c>
      <c r="H960" s="1" t="n">
        <v>5</v>
      </c>
      <c r="I960" s="1" t="s">
        <v>129</v>
      </c>
      <c r="J960" s="1" t="s">
        <v>255</v>
      </c>
      <c r="K960" s="1" t="n">
        <v>10</v>
      </c>
    </row>
    <row r="961" customFormat="false" ht="14.25" hidden="true" customHeight="false" outlineLevel="0" collapsed="false">
      <c r="A961" s="1" t="n">
        <v>21</v>
      </c>
      <c r="B961" s="1" t="s">
        <v>135</v>
      </c>
      <c r="C961" s="1" t="s">
        <v>379</v>
      </c>
      <c r="D961" s="23" t="s">
        <v>274</v>
      </c>
      <c r="E961" s="1" t="s">
        <v>275</v>
      </c>
      <c r="F961" s="1" t="s">
        <v>120</v>
      </c>
      <c r="G961" s="21" t="n">
        <f aca="false">K961/3.1416</f>
        <v>3.81970970206264</v>
      </c>
      <c r="H961" s="1" t="n">
        <v>5</v>
      </c>
      <c r="I961" s="1" t="s">
        <v>129</v>
      </c>
      <c r="J961" s="1" t="s">
        <v>149</v>
      </c>
      <c r="K961" s="1" t="n">
        <v>12</v>
      </c>
    </row>
    <row r="962" customFormat="false" ht="14.25" hidden="true" customHeight="false" outlineLevel="0" collapsed="false">
      <c r="A962" s="1" t="n">
        <v>23</v>
      </c>
      <c r="B962" s="1" t="s">
        <v>135</v>
      </c>
      <c r="C962" s="1" t="s">
        <v>379</v>
      </c>
      <c r="D962" s="23" t="s">
        <v>380</v>
      </c>
      <c r="E962" s="1" t="s">
        <v>186</v>
      </c>
      <c r="F962" s="1" t="s">
        <v>197</v>
      </c>
      <c r="G962" s="21" t="n">
        <f aca="false">K962/3.1416</f>
        <v>3.81970970206264</v>
      </c>
      <c r="H962" s="1" t="n">
        <v>5</v>
      </c>
      <c r="I962" s="1" t="s">
        <v>134</v>
      </c>
      <c r="J962" s="1" t="s">
        <v>149</v>
      </c>
      <c r="K962" s="1" t="n">
        <v>12</v>
      </c>
    </row>
    <row r="963" customFormat="false" ht="14.25" hidden="true" customHeight="false" outlineLevel="0" collapsed="false">
      <c r="A963" s="1" t="n">
        <v>23</v>
      </c>
      <c r="B963" s="1" t="s">
        <v>135</v>
      </c>
      <c r="C963" s="1" t="s">
        <v>379</v>
      </c>
      <c r="D963" s="23" t="s">
        <v>380</v>
      </c>
      <c r="E963" s="1" t="s">
        <v>186</v>
      </c>
      <c r="F963" s="1" t="s">
        <v>197</v>
      </c>
      <c r="G963" s="21" t="n">
        <f aca="false">K963/3.1416</f>
        <v>4.45632798573975</v>
      </c>
      <c r="H963" s="1" t="n">
        <v>6</v>
      </c>
      <c r="I963" s="1" t="s">
        <v>129</v>
      </c>
      <c r="J963" s="1" t="s">
        <v>149</v>
      </c>
      <c r="K963" s="1" t="n">
        <v>14</v>
      </c>
    </row>
    <row r="964" customFormat="false" ht="14.25" hidden="true" customHeight="false" outlineLevel="0" collapsed="false">
      <c r="A964" s="1" t="n">
        <v>23</v>
      </c>
      <c r="B964" s="1" t="s">
        <v>135</v>
      </c>
      <c r="C964" s="1" t="s">
        <v>379</v>
      </c>
      <c r="D964" s="23" t="s">
        <v>380</v>
      </c>
      <c r="E964" s="1" t="s">
        <v>186</v>
      </c>
      <c r="F964" s="1" t="s">
        <v>197</v>
      </c>
      <c r="G964" s="21" t="n">
        <f aca="false">K964/3.1416</f>
        <v>5.41125541125541</v>
      </c>
      <c r="H964" s="1" t="n">
        <v>5</v>
      </c>
      <c r="I964" s="1" t="s">
        <v>127</v>
      </c>
      <c r="J964" s="1" t="s">
        <v>149</v>
      </c>
      <c r="K964" s="1" t="n">
        <v>17</v>
      </c>
    </row>
    <row r="965" customFormat="false" ht="14.25" hidden="true" customHeight="false" outlineLevel="0" collapsed="false">
      <c r="A965" s="1" t="n">
        <v>23</v>
      </c>
      <c r="B965" s="1" t="s">
        <v>135</v>
      </c>
      <c r="C965" s="1" t="s">
        <v>379</v>
      </c>
      <c r="D965" s="23" t="s">
        <v>380</v>
      </c>
      <c r="E965" s="1" t="s">
        <v>186</v>
      </c>
      <c r="F965" s="1" t="s">
        <v>197</v>
      </c>
      <c r="G965" s="21" t="n">
        <f aca="false">K965/3.1416</f>
        <v>4.7746371275783</v>
      </c>
      <c r="H965" s="1" t="n">
        <v>6</v>
      </c>
      <c r="I965" s="1" t="s">
        <v>129</v>
      </c>
      <c r="J965" s="1" t="s">
        <v>149</v>
      </c>
      <c r="K965" s="1" t="n">
        <v>15</v>
      </c>
    </row>
    <row r="966" customFormat="false" ht="14.25" hidden="true" customHeight="false" outlineLevel="0" collapsed="false">
      <c r="A966" s="1" t="n">
        <v>24</v>
      </c>
      <c r="B966" s="1" t="s">
        <v>135</v>
      </c>
      <c r="C966" s="1" t="s">
        <v>379</v>
      </c>
      <c r="D966" s="23"/>
      <c r="G966" s="21" t="n">
        <f aca="false">K966/3.1416</f>
        <v>3.18309141838554</v>
      </c>
      <c r="H966" s="1" t="n">
        <v>5</v>
      </c>
      <c r="I966" s="1" t="s">
        <v>127</v>
      </c>
      <c r="J966" s="1" t="s">
        <v>149</v>
      </c>
      <c r="K966" s="1" t="n">
        <v>10</v>
      </c>
    </row>
    <row r="967" customFormat="false" ht="14.25" hidden="true" customHeight="false" outlineLevel="0" collapsed="false">
      <c r="A967" s="1" t="n">
        <v>27</v>
      </c>
      <c r="B967" s="1" t="s">
        <v>82</v>
      </c>
      <c r="C967" s="1" t="s">
        <v>379</v>
      </c>
      <c r="D967" s="23"/>
      <c r="G967" s="21" t="n">
        <f aca="false">K967/3.1416</f>
        <v>4.7746371275783</v>
      </c>
      <c r="H967" s="1" t="n">
        <v>10</v>
      </c>
      <c r="I967" s="1" t="s">
        <v>129</v>
      </c>
      <c r="J967" s="1" t="s">
        <v>149</v>
      </c>
      <c r="K967" s="1" t="n">
        <v>15</v>
      </c>
    </row>
    <row r="968" customFormat="false" ht="14.25" hidden="true" customHeight="false" outlineLevel="0" collapsed="false">
      <c r="A968" s="1" t="n">
        <v>28</v>
      </c>
      <c r="B968" s="1" t="s">
        <v>82</v>
      </c>
      <c r="C968" s="1" t="s">
        <v>379</v>
      </c>
      <c r="D968" s="23"/>
      <c r="G968" s="21" t="n">
        <f aca="false">K968/3.1416</f>
        <v>2.54647313470843</v>
      </c>
      <c r="H968" s="1" t="n">
        <v>2</v>
      </c>
      <c r="I968" s="1" t="s">
        <v>127</v>
      </c>
      <c r="J968" s="1" t="s">
        <v>149</v>
      </c>
      <c r="K968" s="1" t="n">
        <v>8</v>
      </c>
    </row>
    <row r="969" customFormat="false" ht="14.25" hidden="true" customHeight="false" outlineLevel="0" collapsed="false">
      <c r="A969" s="1" t="n">
        <v>28</v>
      </c>
      <c r="B969" s="1" t="s">
        <v>82</v>
      </c>
      <c r="C969" s="1" t="s">
        <v>379</v>
      </c>
      <c r="D969" s="23" t="s">
        <v>351</v>
      </c>
      <c r="E969" s="1" t="s">
        <v>313</v>
      </c>
      <c r="F969" s="1" t="s">
        <v>120</v>
      </c>
      <c r="G969" s="21" t="n">
        <f aca="false">K969/3.1416</f>
        <v>2.54647313470843</v>
      </c>
      <c r="H969" s="1" t="n">
        <v>5</v>
      </c>
      <c r="I969" s="1" t="s">
        <v>129</v>
      </c>
      <c r="J969" s="1" t="s">
        <v>149</v>
      </c>
      <c r="K969" s="1" t="n">
        <v>8</v>
      </c>
    </row>
    <row r="970" customFormat="false" ht="14.25" hidden="true" customHeight="false" outlineLevel="0" collapsed="false">
      <c r="A970" s="1" t="n">
        <v>29</v>
      </c>
      <c r="B970" s="1" t="s">
        <v>131</v>
      </c>
      <c r="C970" s="1" t="s">
        <v>379</v>
      </c>
      <c r="D970" s="23"/>
      <c r="G970" s="21" t="n">
        <f aca="false">K970/3.1416</f>
        <v>3.50140056022409</v>
      </c>
      <c r="H970" s="1" t="n">
        <v>7</v>
      </c>
      <c r="I970" s="1" t="s">
        <v>129</v>
      </c>
      <c r="J970" s="1" t="s">
        <v>149</v>
      </c>
      <c r="K970" s="1" t="n">
        <v>11</v>
      </c>
    </row>
    <row r="971" customFormat="false" ht="14.25" hidden="true" customHeight="false" outlineLevel="0" collapsed="false">
      <c r="A971" s="1" t="n">
        <v>1</v>
      </c>
      <c r="B971" s="1" t="s">
        <v>72</v>
      </c>
      <c r="C971" s="1" t="s">
        <v>379</v>
      </c>
      <c r="D971" s="23" t="s">
        <v>351</v>
      </c>
      <c r="E971" s="1" t="s">
        <v>313</v>
      </c>
      <c r="F971" s="1" t="s">
        <v>138</v>
      </c>
      <c r="G971" s="21" t="n">
        <f aca="false">ROUND(K971/PI(),0)</f>
        <v>3</v>
      </c>
      <c r="H971" s="1" t="n">
        <v>4</v>
      </c>
      <c r="I971" s="1" t="s">
        <v>127</v>
      </c>
      <c r="J971" s="1" t="s">
        <v>381</v>
      </c>
      <c r="K971" s="1" t="n">
        <v>9</v>
      </c>
    </row>
    <row r="972" customFormat="false" ht="14.25" hidden="true" customHeight="false" outlineLevel="0" collapsed="false">
      <c r="A972" s="1" t="n">
        <v>3</v>
      </c>
      <c r="B972" s="1" t="s">
        <v>82</v>
      </c>
      <c r="C972" s="1" t="s">
        <v>379</v>
      </c>
      <c r="D972" s="23"/>
      <c r="G972" s="21" t="n">
        <f aca="false">ROUND(K972/PI(),0)</f>
        <v>4</v>
      </c>
      <c r="H972" s="1" t="n">
        <v>6</v>
      </c>
      <c r="I972" s="1" t="s">
        <v>129</v>
      </c>
      <c r="J972" s="1" t="s">
        <v>162</v>
      </c>
      <c r="K972" s="1" t="n">
        <v>11</v>
      </c>
    </row>
    <row r="973" customFormat="false" ht="14.25" hidden="true" customHeight="false" outlineLevel="0" collapsed="false">
      <c r="A973" s="1" t="n">
        <v>5</v>
      </c>
      <c r="B973" s="1" t="s">
        <v>92</v>
      </c>
      <c r="C973" s="1" t="s">
        <v>379</v>
      </c>
      <c r="D973" s="23"/>
      <c r="E973" s="1" t="s">
        <v>139</v>
      </c>
      <c r="F973" s="1" t="s">
        <v>120</v>
      </c>
      <c r="G973" s="21" t="n">
        <f aca="false">ROUND(K973/PI(),0)</f>
        <v>19</v>
      </c>
      <c r="H973" s="1" t="n">
        <v>10</v>
      </c>
      <c r="I973" s="1" t="s">
        <v>129</v>
      </c>
      <c r="J973" s="1" t="s">
        <v>382</v>
      </c>
      <c r="K973" s="1" t="n">
        <v>60</v>
      </c>
    </row>
    <row r="974" customFormat="false" ht="14.25" hidden="true" customHeight="false" outlineLevel="0" collapsed="false">
      <c r="A974" s="1" t="n">
        <v>27</v>
      </c>
      <c r="B974" s="1" t="s">
        <v>82</v>
      </c>
      <c r="C974" s="1" t="s">
        <v>383</v>
      </c>
      <c r="D974" s="23" t="s">
        <v>310</v>
      </c>
      <c r="E974" s="1" t="s">
        <v>275</v>
      </c>
      <c r="F974" s="1" t="s">
        <v>138</v>
      </c>
      <c r="G974" s="21" t="n">
        <f aca="false">K974/3.1416</f>
        <v>2.54647313470843</v>
      </c>
      <c r="H974" s="1" t="n">
        <v>5</v>
      </c>
      <c r="I974" s="1" t="s">
        <v>127</v>
      </c>
      <c r="J974" s="1" t="s">
        <v>149</v>
      </c>
      <c r="K974" s="1" t="n">
        <v>8</v>
      </c>
    </row>
    <row r="975" customFormat="false" ht="14.25" hidden="true" customHeight="false" outlineLevel="0" collapsed="false">
      <c r="A975" s="1" t="n">
        <v>28</v>
      </c>
      <c r="B975" s="1" t="s">
        <v>82</v>
      </c>
      <c r="C975" s="1" t="s">
        <v>383</v>
      </c>
      <c r="D975" s="23"/>
      <c r="G975" s="21" t="n">
        <f aca="false">K975/3.1416</f>
        <v>2.54647313470843</v>
      </c>
      <c r="H975" s="1" t="n">
        <v>5</v>
      </c>
      <c r="I975" s="1" t="s">
        <v>134</v>
      </c>
      <c r="J975" s="1" t="s">
        <v>149</v>
      </c>
      <c r="K975" s="1" t="n">
        <v>8</v>
      </c>
    </row>
    <row r="976" customFormat="false" ht="14.25" hidden="true" customHeight="false" outlineLevel="0" collapsed="false">
      <c r="A976" s="1" t="n">
        <v>28</v>
      </c>
      <c r="B976" s="1" t="s">
        <v>82</v>
      </c>
      <c r="C976" s="1" t="s">
        <v>383</v>
      </c>
      <c r="D976" s="23"/>
      <c r="G976" s="21" t="n">
        <f aca="false">K976/3.1416</f>
        <v>3.18309141838554</v>
      </c>
      <c r="H976" s="1" t="n">
        <v>5</v>
      </c>
      <c r="I976" s="1" t="s">
        <v>127</v>
      </c>
      <c r="J976" s="1" t="s">
        <v>149</v>
      </c>
      <c r="K976" s="1" t="n">
        <v>10</v>
      </c>
    </row>
    <row r="977" customFormat="false" ht="14.25" hidden="true" customHeight="false" outlineLevel="0" collapsed="false">
      <c r="A977" s="1" t="n">
        <v>3</v>
      </c>
      <c r="B977" s="1" t="s">
        <v>122</v>
      </c>
      <c r="C977" s="1" t="s">
        <v>384</v>
      </c>
      <c r="D977" s="23" t="s">
        <v>319</v>
      </c>
      <c r="E977" s="1" t="s">
        <v>206</v>
      </c>
      <c r="F977" s="2" t="s">
        <v>120</v>
      </c>
      <c r="G977" s="21" t="n">
        <f aca="false">K977/3.1416</f>
        <v>31.8309141838554</v>
      </c>
      <c r="H977" s="1" t="n">
        <v>0</v>
      </c>
      <c r="I977" s="2" t="s">
        <v>74</v>
      </c>
      <c r="J977" s="1" t="s">
        <v>385</v>
      </c>
      <c r="K977" s="1" t="n">
        <v>100</v>
      </c>
    </row>
    <row r="978" customFormat="false" ht="14.25" hidden="true" customHeight="false" outlineLevel="0" collapsed="false">
      <c r="A978" s="1" t="n">
        <v>2</v>
      </c>
      <c r="B978" s="1" t="s">
        <v>82</v>
      </c>
      <c r="C978" s="1" t="s">
        <v>386</v>
      </c>
      <c r="D978" s="23" t="s">
        <v>260</v>
      </c>
      <c r="E978" s="1" t="s">
        <v>261</v>
      </c>
      <c r="F978" s="1" t="s">
        <v>138</v>
      </c>
      <c r="G978" s="21" t="n">
        <f aca="false">K978/3.1416</f>
        <v>11.4591291061879</v>
      </c>
      <c r="H978" s="1" t="n">
        <v>0</v>
      </c>
      <c r="I978" s="2" t="s">
        <v>74</v>
      </c>
      <c r="J978" s="1" t="s">
        <v>130</v>
      </c>
      <c r="K978" s="1" t="n">
        <v>36</v>
      </c>
    </row>
    <row r="979" customFormat="false" ht="14.25" hidden="true" customHeight="false" outlineLevel="0" collapsed="false">
      <c r="A979" s="1" t="n">
        <v>7</v>
      </c>
      <c r="B979" s="1" t="s">
        <v>122</v>
      </c>
      <c r="C979" s="1" t="s">
        <v>386</v>
      </c>
      <c r="D979" s="23"/>
      <c r="E979" s="1" t="s">
        <v>157</v>
      </c>
      <c r="F979" s="2" t="s">
        <v>120</v>
      </c>
      <c r="G979" s="21" t="n">
        <f aca="false">K979/3.1416</f>
        <v>2.22816399286988</v>
      </c>
      <c r="H979" s="1" t="n">
        <v>3.5</v>
      </c>
      <c r="I979" s="2" t="s">
        <v>74</v>
      </c>
      <c r="J979" s="1" t="s">
        <v>130</v>
      </c>
      <c r="K979" s="1" t="n">
        <v>7</v>
      </c>
    </row>
    <row r="980" customFormat="false" ht="14.25" hidden="true" customHeight="false" outlineLevel="0" collapsed="false">
      <c r="A980" s="1" t="n">
        <v>9</v>
      </c>
      <c r="B980" s="1" t="s">
        <v>122</v>
      </c>
      <c r="C980" s="1" t="s">
        <v>386</v>
      </c>
      <c r="D980" s="23" t="s">
        <v>387</v>
      </c>
      <c r="E980" s="1" t="s">
        <v>261</v>
      </c>
      <c r="F980" s="1" t="s">
        <v>120</v>
      </c>
      <c r="G980" s="21" t="n">
        <f aca="false">K980/3.1416</f>
        <v>4.7746371275783</v>
      </c>
      <c r="H980" s="1" t="n">
        <v>8</v>
      </c>
      <c r="I980" s="2" t="s">
        <v>129</v>
      </c>
      <c r="J980" s="1" t="s">
        <v>130</v>
      </c>
      <c r="K980" s="1" t="n">
        <v>15</v>
      </c>
    </row>
    <row r="981" customFormat="false" ht="14.25" hidden="true" customHeight="false" outlineLevel="0" collapsed="false">
      <c r="A981" s="1" t="n">
        <v>14</v>
      </c>
      <c r="B981" s="1" t="s">
        <v>131</v>
      </c>
      <c r="C981" s="1" t="s">
        <v>386</v>
      </c>
      <c r="D981" s="23" t="s">
        <v>260</v>
      </c>
      <c r="E981" s="1" t="s">
        <v>261</v>
      </c>
      <c r="F981" s="1" t="s">
        <v>138</v>
      </c>
      <c r="G981" s="21" t="n">
        <f aca="false">K981/3.1416</f>
        <v>3.81970970206264</v>
      </c>
      <c r="H981" s="1" t="n">
        <v>4</v>
      </c>
      <c r="I981" s="1" t="s">
        <v>129</v>
      </c>
      <c r="J981" s="1" t="s">
        <v>130</v>
      </c>
      <c r="K981" s="1" t="n">
        <v>12</v>
      </c>
    </row>
    <row r="982" customFormat="false" ht="14.25" hidden="true" customHeight="false" outlineLevel="0" collapsed="false">
      <c r="A982" s="1" t="n">
        <v>14</v>
      </c>
      <c r="B982" s="1" t="s">
        <v>131</v>
      </c>
      <c r="C982" s="1" t="s">
        <v>386</v>
      </c>
      <c r="D982" s="23" t="s">
        <v>192</v>
      </c>
      <c r="E982" s="1" t="s">
        <v>193</v>
      </c>
      <c r="F982" s="1" t="s">
        <v>120</v>
      </c>
      <c r="G982" s="21" t="n">
        <f aca="false">K982/3.1416</f>
        <v>6.36618283677107</v>
      </c>
      <c r="H982" s="1" t="n">
        <v>5</v>
      </c>
      <c r="I982" s="1" t="s">
        <v>129</v>
      </c>
      <c r="J982" s="1" t="s">
        <v>130</v>
      </c>
      <c r="K982" s="1" t="n">
        <v>20</v>
      </c>
    </row>
    <row r="983" customFormat="false" ht="14.25" hidden="true" customHeight="false" outlineLevel="0" collapsed="false">
      <c r="A983" s="1" t="n">
        <v>15</v>
      </c>
      <c r="B983" s="1" t="s">
        <v>131</v>
      </c>
      <c r="C983" s="1" t="s">
        <v>386</v>
      </c>
      <c r="D983" s="23" t="s">
        <v>260</v>
      </c>
      <c r="E983" s="1" t="s">
        <v>261</v>
      </c>
      <c r="F983" s="1" t="s">
        <v>138</v>
      </c>
      <c r="G983" s="21" t="n">
        <f aca="false">K983/3.1416</f>
        <v>29.921059332824</v>
      </c>
      <c r="H983" s="1" t="n">
        <v>20</v>
      </c>
      <c r="I983" s="1" t="s">
        <v>129</v>
      </c>
      <c r="J983" s="1" t="s">
        <v>130</v>
      </c>
      <c r="K983" s="1" t="n">
        <v>94</v>
      </c>
    </row>
    <row r="984" customFormat="false" ht="14.25" hidden="true" customHeight="false" outlineLevel="0" collapsed="false">
      <c r="A984" s="1" t="n">
        <v>18</v>
      </c>
      <c r="B984" s="1" t="s">
        <v>128</v>
      </c>
      <c r="C984" s="1" t="s">
        <v>386</v>
      </c>
      <c r="D984" s="23" t="s">
        <v>387</v>
      </c>
      <c r="E984" s="1" t="s">
        <v>261</v>
      </c>
      <c r="F984" s="1" t="s">
        <v>138</v>
      </c>
      <c r="G984" s="21" t="n">
        <f aca="false">K984/3.1416</f>
        <v>13.3689839572193</v>
      </c>
      <c r="H984" s="1" t="n">
        <v>10</v>
      </c>
      <c r="I984" s="1" t="s">
        <v>129</v>
      </c>
      <c r="J984" s="1" t="s">
        <v>130</v>
      </c>
      <c r="K984" s="1" t="n">
        <v>42</v>
      </c>
    </row>
    <row r="985" customFormat="false" ht="14.25" hidden="true" customHeight="false" outlineLevel="0" collapsed="false">
      <c r="A985" s="1" t="n">
        <v>27</v>
      </c>
      <c r="B985" s="1" t="s">
        <v>82</v>
      </c>
      <c r="C985" s="1" t="s">
        <v>386</v>
      </c>
      <c r="D985" s="23" t="s">
        <v>387</v>
      </c>
      <c r="E985" s="1" t="s">
        <v>261</v>
      </c>
      <c r="F985" s="1" t="s">
        <v>120</v>
      </c>
      <c r="G985" s="21" t="n">
        <f aca="false">K985/3.1416</f>
        <v>2.86478227654698</v>
      </c>
      <c r="H985" s="1" t="n">
        <v>15</v>
      </c>
      <c r="I985" s="1" t="s">
        <v>129</v>
      </c>
      <c r="J985" s="1" t="s">
        <v>130</v>
      </c>
      <c r="K985" s="1" t="n">
        <v>9</v>
      </c>
    </row>
    <row r="986" customFormat="false" ht="14.25" hidden="true" customHeight="false" outlineLevel="0" collapsed="false">
      <c r="A986" s="1" t="n">
        <v>27</v>
      </c>
      <c r="B986" s="1" t="s">
        <v>82</v>
      </c>
      <c r="C986" s="1" t="s">
        <v>386</v>
      </c>
      <c r="D986" s="23" t="s">
        <v>387</v>
      </c>
      <c r="E986" s="1" t="s">
        <v>261</v>
      </c>
      <c r="F986" s="1" t="s">
        <v>120</v>
      </c>
      <c r="G986" s="21" t="n">
        <f aca="false">K986/3.1416</f>
        <v>6.04787369493252</v>
      </c>
      <c r="H986" s="1" t="n">
        <v>10</v>
      </c>
      <c r="I986" s="1" t="s">
        <v>129</v>
      </c>
      <c r="J986" s="1" t="s">
        <v>130</v>
      </c>
      <c r="K986" s="1" t="n">
        <v>19</v>
      </c>
    </row>
    <row r="987" customFormat="false" ht="14.25" hidden="true" customHeight="false" outlineLevel="0" collapsed="false">
      <c r="A987" s="1" t="n">
        <v>27</v>
      </c>
      <c r="B987" s="1" t="s">
        <v>82</v>
      </c>
      <c r="C987" s="1" t="s">
        <v>386</v>
      </c>
      <c r="D987" s="23" t="s">
        <v>387</v>
      </c>
      <c r="E987" s="1" t="s">
        <v>261</v>
      </c>
      <c r="F987" s="1" t="s">
        <v>120</v>
      </c>
      <c r="G987" s="21" t="n">
        <f aca="false">K987/3.1416</f>
        <v>16.5520753756048</v>
      </c>
      <c r="H987" s="1" t="n">
        <v>15</v>
      </c>
      <c r="I987" s="1" t="s">
        <v>129</v>
      </c>
      <c r="J987" s="1" t="s">
        <v>130</v>
      </c>
      <c r="K987" s="1" t="n">
        <v>52</v>
      </c>
    </row>
    <row r="988" customFormat="false" ht="14.25" hidden="true" customHeight="false" outlineLevel="0" collapsed="false">
      <c r="A988" s="1" t="n">
        <v>28</v>
      </c>
      <c r="B988" s="1" t="s">
        <v>82</v>
      </c>
      <c r="C988" s="1" t="s">
        <v>386</v>
      </c>
      <c r="D988" s="23" t="s">
        <v>387</v>
      </c>
      <c r="E988" s="1" t="s">
        <v>261</v>
      </c>
      <c r="F988" s="1" t="s">
        <v>120</v>
      </c>
      <c r="G988" s="21" t="n">
        <f aca="false">K988/3.1416</f>
        <v>4.1380188439012</v>
      </c>
      <c r="H988" s="1" t="n">
        <v>7</v>
      </c>
      <c r="I988" s="1" t="s">
        <v>127</v>
      </c>
      <c r="J988" s="1" t="s">
        <v>130</v>
      </c>
      <c r="K988" s="1" t="n">
        <v>13</v>
      </c>
    </row>
    <row r="989" customFormat="false" ht="14.25" hidden="true" customHeight="false" outlineLevel="0" collapsed="false">
      <c r="A989" s="1" t="n">
        <v>29</v>
      </c>
      <c r="B989" s="1" t="s">
        <v>131</v>
      </c>
      <c r="C989" s="1" t="s">
        <v>386</v>
      </c>
      <c r="D989" s="23" t="s">
        <v>260</v>
      </c>
      <c r="E989" s="1" t="s">
        <v>261</v>
      </c>
      <c r="F989" s="1" t="s">
        <v>138</v>
      </c>
      <c r="G989" s="21" t="n">
        <f aca="false">K989/3.1416</f>
        <v>5.72956455309397</v>
      </c>
      <c r="H989" s="1" t="n">
        <v>7</v>
      </c>
      <c r="I989" s="1" t="s">
        <v>129</v>
      </c>
      <c r="J989" s="1" t="s">
        <v>130</v>
      </c>
      <c r="K989" s="1" t="n">
        <v>18</v>
      </c>
    </row>
    <row r="990" customFormat="false" ht="14.25" hidden="true" customHeight="false" outlineLevel="0" collapsed="false">
      <c r="A990" s="1" t="n">
        <v>29</v>
      </c>
      <c r="B990" s="1" t="s">
        <v>131</v>
      </c>
      <c r="C990" s="1" t="s">
        <v>386</v>
      </c>
      <c r="D990" s="23" t="s">
        <v>260</v>
      </c>
      <c r="E990" s="1" t="s">
        <v>261</v>
      </c>
      <c r="F990" s="1" t="s">
        <v>138</v>
      </c>
      <c r="G990" s="21" t="n">
        <f aca="false">K990/3.1416</f>
        <v>2.54647313470843</v>
      </c>
      <c r="H990" s="1" t="n">
        <v>4</v>
      </c>
      <c r="I990" s="1" t="s">
        <v>127</v>
      </c>
      <c r="J990" s="1" t="s">
        <v>130</v>
      </c>
      <c r="K990" s="1" t="n">
        <v>8</v>
      </c>
    </row>
    <row r="991" customFormat="false" ht="14.25" hidden="true" customHeight="false" outlineLevel="0" collapsed="false">
      <c r="A991" s="1" t="n">
        <v>30</v>
      </c>
      <c r="B991" s="1" t="s">
        <v>131</v>
      </c>
      <c r="C991" s="1" t="s">
        <v>386</v>
      </c>
      <c r="D991" s="23" t="s">
        <v>387</v>
      </c>
      <c r="E991" s="1" t="s">
        <v>261</v>
      </c>
      <c r="F991" s="1" t="s">
        <v>120</v>
      </c>
      <c r="G991" s="21" t="n">
        <f aca="false">K991/3.1416</f>
        <v>2.86478227654698</v>
      </c>
      <c r="H991" s="1" t="n">
        <v>6</v>
      </c>
      <c r="I991" s="1" t="s">
        <v>129</v>
      </c>
      <c r="J991" s="1" t="s">
        <v>130</v>
      </c>
      <c r="K991" s="1" t="n">
        <v>9</v>
      </c>
    </row>
    <row r="992" customFormat="false" ht="14.25" hidden="true" customHeight="false" outlineLevel="0" collapsed="false">
      <c r="A992" s="1" t="n">
        <v>1</v>
      </c>
      <c r="B992" s="1" t="s">
        <v>72</v>
      </c>
      <c r="C992" s="1" t="s">
        <v>386</v>
      </c>
      <c r="D992" s="23" t="s">
        <v>387</v>
      </c>
      <c r="E992" s="1" t="s">
        <v>261</v>
      </c>
      <c r="F992" s="1" t="s">
        <v>120</v>
      </c>
      <c r="G992" s="21" t="n">
        <f aca="false">ROUND(K992/PI(),0)</f>
        <v>4</v>
      </c>
      <c r="H992" s="1" t="n">
        <v>7</v>
      </c>
      <c r="I992" s="1" t="s">
        <v>129</v>
      </c>
      <c r="J992" s="1" t="s">
        <v>158</v>
      </c>
      <c r="K992" s="1" t="n">
        <v>12</v>
      </c>
    </row>
    <row r="993" customFormat="false" ht="14.25" hidden="true" customHeight="false" outlineLevel="0" collapsed="false">
      <c r="A993" s="1" t="n">
        <v>3</v>
      </c>
      <c r="B993" s="1" t="s">
        <v>82</v>
      </c>
      <c r="C993" s="1" t="s">
        <v>386</v>
      </c>
      <c r="D993" s="23" t="s">
        <v>387</v>
      </c>
      <c r="E993" s="1" t="s">
        <v>261</v>
      </c>
      <c r="F993" s="1" t="s">
        <v>120</v>
      </c>
      <c r="G993" s="21" t="n">
        <f aca="false">ROUND(K993/PI(),0)</f>
        <v>4</v>
      </c>
      <c r="H993" s="1" t="n">
        <v>7</v>
      </c>
      <c r="I993" s="1" t="s">
        <v>134</v>
      </c>
      <c r="J993" s="1" t="s">
        <v>141</v>
      </c>
      <c r="K993" s="1" t="n">
        <v>13</v>
      </c>
    </row>
    <row r="994" customFormat="false" ht="14.25" hidden="true" customHeight="false" outlineLevel="0" collapsed="false">
      <c r="A994" s="1" t="n">
        <v>5</v>
      </c>
      <c r="B994" s="1" t="s">
        <v>92</v>
      </c>
      <c r="C994" s="1" t="s">
        <v>386</v>
      </c>
      <c r="D994" s="23" t="s">
        <v>248</v>
      </c>
      <c r="E994" s="1" t="s">
        <v>247</v>
      </c>
      <c r="F994" s="1" t="s">
        <v>120</v>
      </c>
      <c r="G994" s="21" t="n">
        <f aca="false">ROUND(K994/PI(),0)</f>
        <v>3</v>
      </c>
      <c r="H994" s="1" t="n">
        <v>5</v>
      </c>
      <c r="I994" s="1" t="s">
        <v>129</v>
      </c>
      <c r="J994" s="1" t="s">
        <v>141</v>
      </c>
      <c r="K994" s="1" t="n">
        <v>9</v>
      </c>
    </row>
    <row r="995" customFormat="false" ht="14.25" hidden="true" customHeight="false" outlineLevel="0" collapsed="false">
      <c r="A995" s="1" t="n">
        <v>7</v>
      </c>
      <c r="B995" s="1" t="s">
        <v>101</v>
      </c>
      <c r="C995" s="1" t="s">
        <v>386</v>
      </c>
      <c r="D995" s="23" t="s">
        <v>349</v>
      </c>
      <c r="E995" s="1" t="s">
        <v>350</v>
      </c>
      <c r="F995" s="1" t="s">
        <v>138</v>
      </c>
      <c r="G995" s="21" t="n">
        <f aca="false">ROUND(K995/PI(),0)</f>
        <v>3</v>
      </c>
      <c r="H995" s="1" t="n">
        <v>4</v>
      </c>
      <c r="I995" s="1" t="s">
        <v>129</v>
      </c>
      <c r="J995" s="1" t="s">
        <v>141</v>
      </c>
      <c r="K995" s="1" t="n">
        <v>9</v>
      </c>
    </row>
    <row r="996" customFormat="false" ht="14.25" hidden="true" customHeight="false" outlineLevel="0" collapsed="false">
      <c r="A996" s="1" t="n">
        <v>7</v>
      </c>
      <c r="B996" s="1" t="s">
        <v>101</v>
      </c>
      <c r="C996" s="1" t="s">
        <v>386</v>
      </c>
      <c r="D996" s="23" t="s">
        <v>387</v>
      </c>
      <c r="E996" s="1" t="s">
        <v>261</v>
      </c>
      <c r="F996" s="1" t="s">
        <v>120</v>
      </c>
      <c r="G996" s="21" t="n">
        <f aca="false">ROUND(K996/PI(),0)</f>
        <v>16</v>
      </c>
      <c r="H996" s="1" t="n">
        <v>13</v>
      </c>
      <c r="I996" s="1" t="s">
        <v>129</v>
      </c>
      <c r="J996" s="1" t="s">
        <v>141</v>
      </c>
      <c r="K996" s="1" t="n">
        <v>49</v>
      </c>
    </row>
    <row r="997" customFormat="false" ht="14.25" hidden="true" customHeight="false" outlineLevel="0" collapsed="false">
      <c r="A997" s="1" t="n">
        <v>7</v>
      </c>
      <c r="B997" s="1" t="s">
        <v>101</v>
      </c>
      <c r="C997" s="1" t="s">
        <v>386</v>
      </c>
      <c r="D997" s="23" t="s">
        <v>387</v>
      </c>
      <c r="E997" s="1" t="s">
        <v>261</v>
      </c>
      <c r="F997" s="1" t="s">
        <v>120</v>
      </c>
      <c r="G997" s="21" t="n">
        <f aca="false">ROUND(K997/PI(),0)</f>
        <v>20</v>
      </c>
      <c r="H997" s="1" t="n">
        <v>11</v>
      </c>
      <c r="I997" s="1" t="s">
        <v>129</v>
      </c>
      <c r="J997" s="1" t="s">
        <v>141</v>
      </c>
      <c r="K997" s="1" t="n">
        <v>64</v>
      </c>
    </row>
    <row r="998" customFormat="false" ht="14.25" hidden="true" customHeight="false" outlineLevel="0" collapsed="false">
      <c r="A998" s="1" t="n">
        <v>30</v>
      </c>
      <c r="B998" s="1" t="s">
        <v>131</v>
      </c>
      <c r="C998" s="1" t="s">
        <v>388</v>
      </c>
      <c r="D998" s="23" t="s">
        <v>132</v>
      </c>
      <c r="E998" s="1" t="s">
        <v>133</v>
      </c>
      <c r="F998" s="1" t="s">
        <v>120</v>
      </c>
      <c r="G998" s="21" t="n">
        <f aca="false">K998/3.1416</f>
        <v>3.18309141838554</v>
      </c>
      <c r="H998" s="1" t="n">
        <v>6</v>
      </c>
      <c r="I998" s="1" t="s">
        <v>129</v>
      </c>
      <c r="J998" s="1" t="s">
        <v>130</v>
      </c>
      <c r="K998" s="1" t="n">
        <v>10</v>
      </c>
    </row>
    <row r="999" customFormat="false" ht="14.25" hidden="true" customHeight="false" outlineLevel="0" collapsed="false">
      <c r="A999" s="1" t="n">
        <v>6</v>
      </c>
      <c r="B999" s="1" t="s">
        <v>122</v>
      </c>
      <c r="C999" s="1" t="s">
        <v>389</v>
      </c>
      <c r="D999" s="23"/>
      <c r="G999" s="21" t="n">
        <f aca="false">K999/3.1416</f>
        <v>4.7746371275783</v>
      </c>
      <c r="H999" s="1" t="n">
        <v>2.5</v>
      </c>
      <c r="I999" s="2" t="s">
        <v>74</v>
      </c>
      <c r="J999" s="1" t="s">
        <v>130</v>
      </c>
      <c r="K999" s="1" t="n">
        <v>15</v>
      </c>
    </row>
    <row r="1000" customFormat="false" ht="14.25" hidden="true" customHeight="false" outlineLevel="0" collapsed="false">
      <c r="A1000" s="1" t="n">
        <v>7</v>
      </c>
      <c r="B1000" s="1" t="s">
        <v>122</v>
      </c>
      <c r="C1000" s="1" t="s">
        <v>389</v>
      </c>
      <c r="D1000" s="23"/>
      <c r="G1000" s="21" t="n">
        <f aca="false">K1000/3.1416</f>
        <v>3.18309141838554</v>
      </c>
      <c r="H1000" s="1" t="n">
        <v>2.5</v>
      </c>
      <c r="I1000" s="2" t="s">
        <v>74</v>
      </c>
      <c r="J1000" s="1" t="s">
        <v>130</v>
      </c>
      <c r="K1000" s="1" t="n">
        <v>10</v>
      </c>
    </row>
    <row r="1001" customFormat="false" ht="14.25" hidden="true" customHeight="false" outlineLevel="0" collapsed="false">
      <c r="A1001" s="1" t="n">
        <v>8</v>
      </c>
      <c r="B1001" s="1" t="s">
        <v>122</v>
      </c>
      <c r="C1001" s="1" t="s">
        <v>389</v>
      </c>
      <c r="D1001" s="23"/>
      <c r="G1001" s="21" t="n">
        <f aca="false">K1001/3.1416</f>
        <v>10.8225108225108</v>
      </c>
      <c r="H1001" s="1" t="n">
        <v>10</v>
      </c>
      <c r="I1001" s="2" t="s">
        <v>129</v>
      </c>
      <c r="J1001" s="1" t="s">
        <v>130</v>
      </c>
      <c r="K1001" s="1" t="n">
        <v>34</v>
      </c>
    </row>
    <row r="1002" customFormat="false" ht="14.25" hidden="true" customHeight="false" outlineLevel="0" collapsed="false">
      <c r="A1002" s="1" t="n">
        <v>8</v>
      </c>
      <c r="B1002" s="1" t="s">
        <v>122</v>
      </c>
      <c r="C1002" s="1" t="s">
        <v>389</v>
      </c>
      <c r="D1002" s="23"/>
      <c r="G1002" s="21" t="n">
        <f aca="false">K1002/3.1416</f>
        <v>3.18309141838554</v>
      </c>
      <c r="H1002" s="1" t="n">
        <v>5</v>
      </c>
      <c r="I1002" s="2" t="s">
        <v>127</v>
      </c>
      <c r="J1002" s="1" t="s">
        <v>130</v>
      </c>
      <c r="K1002" s="1" t="n">
        <v>10</v>
      </c>
    </row>
    <row r="1003" customFormat="false" ht="14.25" hidden="true" customHeight="false" outlineLevel="0" collapsed="false">
      <c r="A1003" s="1" t="n">
        <v>8</v>
      </c>
      <c r="B1003" s="1" t="s">
        <v>122</v>
      </c>
      <c r="C1003" s="1" t="s">
        <v>389</v>
      </c>
      <c r="D1003" s="23"/>
      <c r="G1003" s="21" t="n">
        <f aca="false">K1003/3.1416</f>
        <v>9.86758339699516</v>
      </c>
      <c r="H1003" s="1" t="n">
        <v>1</v>
      </c>
      <c r="I1003" s="2" t="s">
        <v>129</v>
      </c>
      <c r="J1003" s="1" t="s">
        <v>130</v>
      </c>
      <c r="K1003" s="1" t="n">
        <v>31</v>
      </c>
    </row>
    <row r="1004" customFormat="false" ht="14.25" hidden="true" customHeight="false" outlineLevel="0" collapsed="false">
      <c r="A1004" s="1" t="n">
        <v>8</v>
      </c>
      <c r="B1004" s="1" t="s">
        <v>122</v>
      </c>
      <c r="C1004" s="1" t="s">
        <v>389</v>
      </c>
      <c r="D1004" s="23"/>
      <c r="G1004" s="21" t="n">
        <f aca="false">K1004/3.1416</f>
        <v>4.1380188439012</v>
      </c>
      <c r="H1004" s="1" t="n">
        <v>4</v>
      </c>
      <c r="I1004" s="2" t="s">
        <v>129</v>
      </c>
      <c r="J1004" s="1" t="s">
        <v>130</v>
      </c>
      <c r="K1004" s="1" t="n">
        <v>13</v>
      </c>
    </row>
    <row r="1005" customFormat="false" ht="14.25" hidden="true" customHeight="false" outlineLevel="0" collapsed="false">
      <c r="A1005" s="1" t="n">
        <v>9</v>
      </c>
      <c r="B1005" s="1" t="s">
        <v>122</v>
      </c>
      <c r="C1005" s="1" t="s">
        <v>389</v>
      </c>
      <c r="D1005" s="23"/>
      <c r="G1005" s="21" t="n">
        <f aca="false">K1005/3.1416</f>
        <v>6.04787369493252</v>
      </c>
      <c r="H1005" s="1" t="n">
        <v>8</v>
      </c>
      <c r="I1005" s="2" t="s">
        <v>127</v>
      </c>
      <c r="J1005" s="1" t="s">
        <v>130</v>
      </c>
      <c r="K1005" s="1" t="n">
        <v>19</v>
      </c>
    </row>
    <row r="1006" customFormat="false" ht="14.25" hidden="true" customHeight="false" outlineLevel="0" collapsed="false">
      <c r="A1006" s="1" t="n">
        <v>9</v>
      </c>
      <c r="B1006" s="1" t="s">
        <v>122</v>
      </c>
      <c r="C1006" s="1" t="s">
        <v>389</v>
      </c>
      <c r="D1006" s="23"/>
      <c r="G1006" s="21" t="n">
        <f aca="false">K1006/3.1416</f>
        <v>3.18309141838554</v>
      </c>
      <c r="H1006" s="1" t="n">
        <v>5</v>
      </c>
      <c r="I1006" s="2" t="s">
        <v>129</v>
      </c>
      <c r="J1006" s="1" t="s">
        <v>130</v>
      </c>
      <c r="K1006" s="1" t="n">
        <v>10</v>
      </c>
    </row>
    <row r="1007" customFormat="false" ht="14.25" hidden="true" customHeight="false" outlineLevel="0" collapsed="false">
      <c r="A1007" s="1" t="n">
        <v>10</v>
      </c>
      <c r="B1007" s="1" t="s">
        <v>82</v>
      </c>
      <c r="C1007" s="1" t="s">
        <v>389</v>
      </c>
      <c r="D1007" s="23"/>
      <c r="G1007" s="21" t="n">
        <f aca="false">K1007/3.1416</f>
        <v>7.00280112044818</v>
      </c>
      <c r="H1007" s="1" t="n">
        <v>5</v>
      </c>
      <c r="I1007" s="2" t="s">
        <v>129</v>
      </c>
      <c r="J1007" s="1" t="s">
        <v>130</v>
      </c>
      <c r="K1007" s="1" t="n">
        <v>22</v>
      </c>
    </row>
    <row r="1008" customFormat="false" ht="14.25" hidden="true" customHeight="false" outlineLevel="0" collapsed="false">
      <c r="A1008" s="1" t="n">
        <v>11</v>
      </c>
      <c r="B1008" s="1" t="s">
        <v>82</v>
      </c>
      <c r="C1008" s="1" t="s">
        <v>389</v>
      </c>
      <c r="D1008" s="23"/>
      <c r="G1008" s="21" t="n">
        <f aca="false">K1008/3.1416</f>
        <v>3.50140056022409</v>
      </c>
      <c r="H1008" s="1" t="n">
        <v>5</v>
      </c>
      <c r="I1008" s="1" t="s">
        <v>390</v>
      </c>
      <c r="J1008" s="1" t="s">
        <v>130</v>
      </c>
      <c r="K1008" s="1" t="n">
        <v>11</v>
      </c>
    </row>
    <row r="1009" customFormat="false" ht="14.25" hidden="true" customHeight="false" outlineLevel="0" collapsed="false">
      <c r="A1009" s="1" t="n">
        <v>11</v>
      </c>
      <c r="B1009" s="1" t="s">
        <v>82</v>
      </c>
      <c r="C1009" s="1" t="s">
        <v>389</v>
      </c>
      <c r="D1009" s="23"/>
      <c r="G1009" s="21" t="n">
        <f aca="false">K1009/3.1416</f>
        <v>2.54647313470843</v>
      </c>
      <c r="H1009" s="1" t="n">
        <v>2.5</v>
      </c>
      <c r="I1009" s="1" t="s">
        <v>234</v>
      </c>
      <c r="J1009" s="1" t="s">
        <v>130</v>
      </c>
      <c r="K1009" s="1" t="n">
        <v>8</v>
      </c>
    </row>
    <row r="1010" customFormat="false" ht="14.25" hidden="true" customHeight="false" outlineLevel="0" collapsed="false">
      <c r="A1010" s="1" t="n">
        <v>11</v>
      </c>
      <c r="B1010" s="1" t="s">
        <v>82</v>
      </c>
      <c r="C1010" s="1" t="s">
        <v>389</v>
      </c>
      <c r="D1010" s="23"/>
      <c r="G1010" s="21" t="n">
        <f aca="false">K1010/3.1416</f>
        <v>4.45632798573975</v>
      </c>
      <c r="H1010" s="1" t="n">
        <v>6</v>
      </c>
      <c r="I1010" s="1" t="s">
        <v>129</v>
      </c>
      <c r="J1010" s="1" t="s">
        <v>130</v>
      </c>
      <c r="K1010" s="1" t="n">
        <v>14</v>
      </c>
    </row>
    <row r="1011" customFormat="false" ht="14.25" hidden="true" customHeight="false" outlineLevel="0" collapsed="false">
      <c r="A1011" s="1" t="n">
        <v>16</v>
      </c>
      <c r="B1011" s="1" t="s">
        <v>131</v>
      </c>
      <c r="C1011" s="1" t="s">
        <v>389</v>
      </c>
      <c r="D1011" s="23"/>
      <c r="G1011" s="21" t="n">
        <f aca="false">K1011/3.1416</f>
        <v>7.32111026228673</v>
      </c>
      <c r="H1011" s="1" t="n">
        <v>8</v>
      </c>
      <c r="I1011" s="1" t="s">
        <v>129</v>
      </c>
      <c r="J1011" s="1" t="s">
        <v>130</v>
      </c>
      <c r="K1011" s="1" t="n">
        <v>23</v>
      </c>
    </row>
    <row r="1012" customFormat="false" ht="14.25" hidden="true" customHeight="false" outlineLevel="0" collapsed="false">
      <c r="A1012" s="1" t="n">
        <v>16</v>
      </c>
      <c r="B1012" s="1" t="s">
        <v>131</v>
      </c>
      <c r="C1012" s="1" t="s">
        <v>389</v>
      </c>
      <c r="D1012" s="23"/>
      <c r="G1012" s="21" t="n">
        <f aca="false">K1012/3.1416</f>
        <v>2.54647313470843</v>
      </c>
      <c r="H1012" s="1" t="n">
        <v>4</v>
      </c>
      <c r="I1012" s="1" t="s">
        <v>127</v>
      </c>
      <c r="J1012" s="1" t="s">
        <v>130</v>
      </c>
      <c r="K1012" s="1" t="n">
        <v>8</v>
      </c>
    </row>
    <row r="1013" customFormat="false" ht="14.25" hidden="true" customHeight="false" outlineLevel="0" collapsed="false">
      <c r="A1013" s="1" t="n">
        <v>17</v>
      </c>
      <c r="B1013" s="1" t="s">
        <v>128</v>
      </c>
      <c r="C1013" s="1" t="s">
        <v>389</v>
      </c>
      <c r="D1013" s="23" t="s">
        <v>391</v>
      </c>
      <c r="E1013" s="1" t="s">
        <v>174</v>
      </c>
      <c r="F1013" s="1" t="s">
        <v>120</v>
      </c>
      <c r="G1013" s="21" t="n">
        <f aca="false">K1013/3.1416</f>
        <v>3.50140056022409</v>
      </c>
      <c r="H1013" s="1" t="n">
        <v>5</v>
      </c>
      <c r="I1013" s="1" t="s">
        <v>127</v>
      </c>
      <c r="J1013" s="1" t="s">
        <v>130</v>
      </c>
      <c r="K1013" s="1" t="n">
        <v>11</v>
      </c>
    </row>
    <row r="1014" customFormat="false" ht="14.25" hidden="true" customHeight="false" outlineLevel="0" collapsed="false">
      <c r="A1014" s="1" t="n">
        <v>17</v>
      </c>
      <c r="B1014" s="1" t="s">
        <v>128</v>
      </c>
      <c r="C1014" s="1" t="s">
        <v>389</v>
      </c>
      <c r="D1014" s="23" t="s">
        <v>391</v>
      </c>
      <c r="E1014" s="1" t="s">
        <v>174</v>
      </c>
      <c r="F1014" s="1" t="s">
        <v>120</v>
      </c>
      <c r="G1014" s="21" t="n">
        <f aca="false">K1014/3.1416</f>
        <v>2.54647313470843</v>
      </c>
      <c r="H1014" s="1" t="n">
        <v>6</v>
      </c>
      <c r="I1014" s="1" t="s">
        <v>127</v>
      </c>
      <c r="J1014" s="1" t="s">
        <v>130</v>
      </c>
      <c r="K1014" s="1" t="n">
        <v>8</v>
      </c>
    </row>
    <row r="1015" customFormat="false" ht="14.25" hidden="true" customHeight="false" outlineLevel="0" collapsed="false">
      <c r="A1015" s="1" t="n">
        <v>18</v>
      </c>
      <c r="B1015" s="1" t="s">
        <v>128</v>
      </c>
      <c r="C1015" s="1" t="s">
        <v>389</v>
      </c>
      <c r="D1015" s="23" t="s">
        <v>392</v>
      </c>
      <c r="E1015" s="1" t="s">
        <v>139</v>
      </c>
      <c r="F1015" s="1" t="s">
        <v>138</v>
      </c>
      <c r="G1015" s="21" t="n">
        <f aca="false">K1015/3.1416</f>
        <v>2.54647313470843</v>
      </c>
      <c r="H1015" s="1" t="n">
        <v>2</v>
      </c>
      <c r="I1015" s="1" t="s">
        <v>129</v>
      </c>
      <c r="J1015" s="1" t="s">
        <v>130</v>
      </c>
      <c r="K1015" s="1" t="n">
        <v>8</v>
      </c>
    </row>
    <row r="1016" customFormat="false" ht="14.25" hidden="true" customHeight="false" outlineLevel="0" collapsed="false">
      <c r="A1016" s="1" t="n">
        <v>18</v>
      </c>
      <c r="B1016" s="1" t="s">
        <v>128</v>
      </c>
      <c r="C1016" s="1" t="s">
        <v>389</v>
      </c>
      <c r="D1016" s="23" t="s">
        <v>392</v>
      </c>
      <c r="E1016" s="1" t="s">
        <v>139</v>
      </c>
      <c r="F1016" s="1" t="s">
        <v>138</v>
      </c>
      <c r="G1016" s="21" t="n">
        <f aca="false">K1016/3.1416</f>
        <v>4.1380188439012</v>
      </c>
      <c r="H1016" s="1" t="n">
        <v>6</v>
      </c>
      <c r="I1016" s="1" t="s">
        <v>127</v>
      </c>
      <c r="J1016" s="1" t="s">
        <v>130</v>
      </c>
      <c r="K1016" s="1" t="n">
        <v>13</v>
      </c>
    </row>
    <row r="1017" customFormat="false" ht="14.25" hidden="true" customHeight="false" outlineLevel="0" collapsed="false">
      <c r="A1017" s="1" t="n">
        <v>18</v>
      </c>
      <c r="B1017" s="1" t="s">
        <v>128</v>
      </c>
      <c r="C1017" s="1" t="s">
        <v>389</v>
      </c>
      <c r="D1017" s="23" t="s">
        <v>392</v>
      </c>
      <c r="E1017" s="1" t="s">
        <v>139</v>
      </c>
      <c r="F1017" s="1" t="s">
        <v>138</v>
      </c>
      <c r="G1017" s="21" t="n">
        <f aca="false">K1017/3.1416</f>
        <v>4.45632798573975</v>
      </c>
      <c r="H1017" s="1" t="n">
        <v>5</v>
      </c>
      <c r="I1017" s="1" t="s">
        <v>129</v>
      </c>
      <c r="J1017" s="1" t="s">
        <v>130</v>
      </c>
      <c r="K1017" s="1" t="n">
        <v>14</v>
      </c>
    </row>
    <row r="1018" customFormat="false" ht="14.25" hidden="true" customHeight="false" outlineLevel="0" collapsed="false">
      <c r="A1018" s="1" t="n">
        <v>18</v>
      </c>
      <c r="B1018" s="1" t="s">
        <v>128</v>
      </c>
      <c r="C1018" s="1" t="s">
        <v>389</v>
      </c>
      <c r="D1018" s="23" t="s">
        <v>392</v>
      </c>
      <c r="E1018" s="1" t="s">
        <v>139</v>
      </c>
      <c r="F1018" s="1" t="s">
        <v>138</v>
      </c>
      <c r="G1018" s="21" t="n">
        <f aca="false">K1018/3.1416</f>
        <v>8.27603768780239</v>
      </c>
      <c r="H1018" s="1" t="n">
        <v>8</v>
      </c>
      <c r="I1018" s="1" t="s">
        <v>129</v>
      </c>
      <c r="J1018" s="1" t="s">
        <v>130</v>
      </c>
      <c r="K1018" s="1" t="n">
        <v>26</v>
      </c>
    </row>
    <row r="1019" customFormat="false" ht="14.25" hidden="true" customHeight="false" outlineLevel="0" collapsed="false">
      <c r="A1019" s="1" t="n">
        <v>18</v>
      </c>
      <c r="B1019" s="1" t="s">
        <v>128</v>
      </c>
      <c r="C1019" s="1" t="s">
        <v>389</v>
      </c>
      <c r="D1019" s="23"/>
      <c r="G1019" s="21" t="n">
        <f aca="false">K1019/3.1416</f>
        <v>5.41125541125541</v>
      </c>
      <c r="H1019" s="1" t="n">
        <v>7</v>
      </c>
      <c r="I1019" s="1" t="s">
        <v>129</v>
      </c>
      <c r="J1019" s="1" t="s">
        <v>130</v>
      </c>
      <c r="K1019" s="1" t="n">
        <v>17</v>
      </c>
    </row>
    <row r="1020" customFormat="false" ht="14.25" hidden="true" customHeight="false" outlineLevel="0" collapsed="false">
      <c r="A1020" s="1" t="n">
        <v>18</v>
      </c>
      <c r="B1020" s="1" t="s">
        <v>128</v>
      </c>
      <c r="C1020" s="1" t="s">
        <v>389</v>
      </c>
      <c r="D1020" s="23"/>
      <c r="G1020" s="21" t="n">
        <f aca="false">K1020/3.1416</f>
        <v>5.09294626941686</v>
      </c>
      <c r="H1020" s="1" t="n">
        <v>8</v>
      </c>
      <c r="I1020" s="1" t="s">
        <v>127</v>
      </c>
      <c r="J1020" s="1" t="s">
        <v>130</v>
      </c>
      <c r="K1020" s="1" t="n">
        <v>16</v>
      </c>
    </row>
    <row r="1021" customFormat="false" ht="14.25" hidden="true" customHeight="false" outlineLevel="0" collapsed="false">
      <c r="A1021" s="1" t="n">
        <v>18</v>
      </c>
      <c r="B1021" s="1" t="s">
        <v>128</v>
      </c>
      <c r="C1021" s="1" t="s">
        <v>389</v>
      </c>
      <c r="D1021" s="23" t="s">
        <v>192</v>
      </c>
      <c r="E1021" s="1" t="s">
        <v>193</v>
      </c>
      <c r="F1021" s="1" t="s">
        <v>120</v>
      </c>
      <c r="G1021" s="21" t="n">
        <f aca="false">K1021/3.1416</f>
        <v>2.54647313470843</v>
      </c>
      <c r="H1021" s="1" t="n">
        <v>4</v>
      </c>
      <c r="I1021" s="1" t="s">
        <v>129</v>
      </c>
      <c r="J1021" s="1" t="s">
        <v>130</v>
      </c>
      <c r="K1021" s="1" t="n">
        <v>8</v>
      </c>
    </row>
    <row r="1022" customFormat="false" ht="14.25" hidden="true" customHeight="false" outlineLevel="0" collapsed="false">
      <c r="A1022" s="1" t="n">
        <v>18</v>
      </c>
      <c r="B1022" s="1" t="s">
        <v>128</v>
      </c>
      <c r="C1022" s="1" t="s">
        <v>389</v>
      </c>
      <c r="D1022" s="23" t="s">
        <v>393</v>
      </c>
      <c r="E1022" s="1" t="s">
        <v>126</v>
      </c>
      <c r="F1022" s="1" t="s">
        <v>120</v>
      </c>
      <c r="G1022" s="21" t="n">
        <f aca="false">K1022/3.1416</f>
        <v>3.18309141838554</v>
      </c>
      <c r="H1022" s="1" t="n">
        <v>5</v>
      </c>
      <c r="I1022" s="1" t="s">
        <v>127</v>
      </c>
      <c r="J1022" s="1" t="s">
        <v>130</v>
      </c>
      <c r="K1022" s="1" t="n">
        <v>10</v>
      </c>
    </row>
    <row r="1023" customFormat="false" ht="14.25" hidden="true" customHeight="false" outlineLevel="0" collapsed="false">
      <c r="A1023" s="1" t="n">
        <v>21</v>
      </c>
      <c r="B1023" s="1" t="s">
        <v>135</v>
      </c>
      <c r="C1023" s="1" t="s">
        <v>389</v>
      </c>
      <c r="D1023" s="23"/>
      <c r="G1023" s="21" t="n">
        <f aca="false">K1023/3.1416</f>
        <v>6.04787369493252</v>
      </c>
      <c r="H1023" s="1" t="n">
        <v>5</v>
      </c>
      <c r="I1023" s="1" t="s">
        <v>129</v>
      </c>
      <c r="J1023" s="1" t="s">
        <v>130</v>
      </c>
      <c r="K1023" s="1" t="n">
        <v>19</v>
      </c>
    </row>
    <row r="1024" customFormat="false" ht="14.25" hidden="true" customHeight="false" outlineLevel="0" collapsed="false">
      <c r="A1024" s="1" t="n">
        <v>21</v>
      </c>
      <c r="B1024" s="1" t="s">
        <v>135</v>
      </c>
      <c r="C1024" s="1" t="s">
        <v>389</v>
      </c>
      <c r="D1024" s="23" t="s">
        <v>394</v>
      </c>
      <c r="E1024" s="1" t="s">
        <v>289</v>
      </c>
      <c r="F1024" s="1" t="s">
        <v>120</v>
      </c>
      <c r="G1024" s="21" t="n">
        <f aca="false">K1024/3.1416</f>
        <v>4.1380188439012</v>
      </c>
      <c r="H1024" s="1" t="n">
        <v>5</v>
      </c>
      <c r="I1024" s="1" t="s">
        <v>129</v>
      </c>
      <c r="J1024" s="1" t="s">
        <v>130</v>
      </c>
      <c r="K1024" s="1" t="n">
        <v>13</v>
      </c>
    </row>
    <row r="1025" customFormat="false" ht="14.25" hidden="true" customHeight="false" outlineLevel="0" collapsed="false">
      <c r="A1025" s="1" t="n">
        <v>21</v>
      </c>
      <c r="B1025" s="1" t="s">
        <v>135</v>
      </c>
      <c r="C1025" s="1" t="s">
        <v>389</v>
      </c>
      <c r="D1025" s="23"/>
      <c r="E1025" s="1" t="s">
        <v>289</v>
      </c>
      <c r="F1025" s="1" t="s">
        <v>120</v>
      </c>
      <c r="G1025" s="21" t="n">
        <f aca="false">K1025/3.1416</f>
        <v>16.2337662337662</v>
      </c>
      <c r="H1025" s="1" t="n">
        <v>12</v>
      </c>
      <c r="I1025" s="1" t="s">
        <v>129</v>
      </c>
      <c r="J1025" s="1" t="s">
        <v>130</v>
      </c>
      <c r="K1025" s="1" t="n">
        <v>51</v>
      </c>
    </row>
    <row r="1026" customFormat="false" ht="14.25" hidden="true" customHeight="false" outlineLevel="0" collapsed="false">
      <c r="A1026" s="1" t="n">
        <v>21</v>
      </c>
      <c r="B1026" s="1" t="s">
        <v>135</v>
      </c>
      <c r="C1026" s="1" t="s">
        <v>389</v>
      </c>
      <c r="D1026" s="23" t="s">
        <v>394</v>
      </c>
      <c r="E1026" s="1" t="s">
        <v>289</v>
      </c>
      <c r="F1026" s="1" t="s">
        <v>120</v>
      </c>
      <c r="G1026" s="21" t="n">
        <f aca="false">K1026/3.1416</f>
        <v>3.81970970206264</v>
      </c>
      <c r="H1026" s="1" t="n">
        <v>5</v>
      </c>
      <c r="I1026" s="1" t="s">
        <v>134</v>
      </c>
      <c r="J1026" s="1" t="s">
        <v>130</v>
      </c>
      <c r="K1026" s="1" t="n">
        <v>12</v>
      </c>
    </row>
    <row r="1027" customFormat="false" ht="14.25" hidden="true" customHeight="false" outlineLevel="0" collapsed="false">
      <c r="A1027" s="1" t="n">
        <v>24</v>
      </c>
      <c r="B1027" s="1" t="s">
        <v>135</v>
      </c>
      <c r="C1027" s="1" t="s">
        <v>389</v>
      </c>
      <c r="D1027" s="23"/>
      <c r="G1027" s="21" t="n">
        <f aca="false">K1027/3.1416</f>
        <v>2.54647313470843</v>
      </c>
      <c r="H1027" s="1" t="n">
        <v>4</v>
      </c>
      <c r="I1027" s="1" t="s">
        <v>129</v>
      </c>
      <c r="J1027" s="1" t="s">
        <v>130</v>
      </c>
      <c r="K1027" s="1" t="n">
        <v>8</v>
      </c>
    </row>
    <row r="1028" customFormat="false" ht="14.25" hidden="true" customHeight="false" outlineLevel="0" collapsed="false">
      <c r="A1028" s="1" t="n">
        <v>27</v>
      </c>
      <c r="B1028" s="1" t="s">
        <v>82</v>
      </c>
      <c r="C1028" s="1" t="s">
        <v>389</v>
      </c>
      <c r="D1028" s="23"/>
      <c r="E1028" s="1" t="s">
        <v>145</v>
      </c>
      <c r="F1028" s="1" t="s">
        <v>120</v>
      </c>
      <c r="G1028" s="21" t="n">
        <f aca="false">K1028/3.1416</f>
        <v>4.1380188439012</v>
      </c>
      <c r="H1028" s="1" t="n">
        <v>5</v>
      </c>
      <c r="I1028" s="1" t="s">
        <v>127</v>
      </c>
      <c r="J1028" s="1" t="s">
        <v>130</v>
      </c>
      <c r="K1028" s="1" t="n">
        <v>13</v>
      </c>
    </row>
    <row r="1029" customFormat="false" ht="14.25" hidden="true" customHeight="false" outlineLevel="0" collapsed="false">
      <c r="A1029" s="1" t="n">
        <v>27</v>
      </c>
      <c r="B1029" s="1" t="s">
        <v>82</v>
      </c>
      <c r="C1029" s="1" t="s">
        <v>389</v>
      </c>
      <c r="D1029" s="23" t="s">
        <v>395</v>
      </c>
      <c r="E1029" s="1" t="s">
        <v>145</v>
      </c>
      <c r="F1029" s="1" t="s">
        <v>138</v>
      </c>
      <c r="G1029" s="21" t="n">
        <f aca="false">K1029/3.1416</f>
        <v>13.3689839572193</v>
      </c>
      <c r="H1029" s="1" t="n">
        <v>10</v>
      </c>
      <c r="I1029" s="1" t="s">
        <v>134</v>
      </c>
      <c r="J1029" s="1" t="s">
        <v>130</v>
      </c>
      <c r="K1029" s="1" t="n">
        <v>42</v>
      </c>
    </row>
    <row r="1030" customFormat="false" ht="14.25" hidden="true" customHeight="false" outlineLevel="0" collapsed="false">
      <c r="A1030" s="1" t="n">
        <v>27</v>
      </c>
      <c r="B1030" s="1" t="s">
        <v>82</v>
      </c>
      <c r="C1030" s="1" t="s">
        <v>389</v>
      </c>
      <c r="D1030" s="23"/>
      <c r="G1030" s="21" t="n">
        <f aca="false">K1030/3.1416</f>
        <v>2.54647313470843</v>
      </c>
      <c r="H1030" s="1" t="n">
        <v>3</v>
      </c>
      <c r="I1030" s="1" t="s">
        <v>129</v>
      </c>
      <c r="J1030" s="1" t="s">
        <v>130</v>
      </c>
      <c r="K1030" s="1" t="n">
        <v>8</v>
      </c>
    </row>
    <row r="1031" customFormat="false" ht="14.25" hidden="true" customHeight="false" outlineLevel="0" collapsed="false">
      <c r="A1031" s="1" t="n">
        <v>27</v>
      </c>
      <c r="B1031" s="1" t="s">
        <v>82</v>
      </c>
      <c r="C1031" s="1" t="s">
        <v>389</v>
      </c>
      <c r="D1031" s="23"/>
      <c r="E1031" s="1" t="s">
        <v>142</v>
      </c>
      <c r="F1031" s="1" t="s">
        <v>120</v>
      </c>
      <c r="G1031" s="21" t="n">
        <f aca="false">K1031/3.1416</f>
        <v>2.86478227654698</v>
      </c>
      <c r="H1031" s="1" t="n">
        <v>5</v>
      </c>
      <c r="I1031" s="1" t="s">
        <v>129</v>
      </c>
      <c r="J1031" s="1" t="s">
        <v>130</v>
      </c>
      <c r="K1031" s="1" t="n">
        <v>9</v>
      </c>
    </row>
    <row r="1032" customFormat="false" ht="14.25" hidden="true" customHeight="false" outlineLevel="0" collapsed="false">
      <c r="A1032" s="1" t="n">
        <v>30</v>
      </c>
      <c r="B1032" s="1" t="s">
        <v>131</v>
      </c>
      <c r="C1032" s="1" t="s">
        <v>389</v>
      </c>
      <c r="D1032" s="23"/>
      <c r="G1032" s="21" t="n">
        <f aca="false">K1032/3.1416</f>
        <v>2.54647313470843</v>
      </c>
      <c r="H1032" s="1" t="n">
        <v>8</v>
      </c>
      <c r="I1032" s="1" t="s">
        <v>129</v>
      </c>
      <c r="J1032" s="1" t="s">
        <v>130</v>
      </c>
      <c r="K1032" s="1" t="n">
        <v>8</v>
      </c>
    </row>
    <row r="1033" customFormat="false" ht="14.25" hidden="true" customHeight="false" outlineLevel="0" collapsed="false">
      <c r="A1033" s="1" t="n">
        <v>30</v>
      </c>
      <c r="B1033" s="1" t="s">
        <v>131</v>
      </c>
      <c r="C1033" s="1" t="s">
        <v>389</v>
      </c>
      <c r="D1033" s="23"/>
      <c r="E1033" s="1" t="s">
        <v>174</v>
      </c>
      <c r="F1033" s="1" t="s">
        <v>120</v>
      </c>
      <c r="G1033" s="21" t="n">
        <f aca="false">K1033/3.1416</f>
        <v>2.54647313470843</v>
      </c>
      <c r="H1033" s="1" t="n">
        <v>4</v>
      </c>
      <c r="I1033" s="1" t="s">
        <v>129</v>
      </c>
      <c r="J1033" s="1" t="s">
        <v>130</v>
      </c>
      <c r="K1033" s="1" t="n">
        <v>8</v>
      </c>
    </row>
    <row r="1034" customFormat="false" ht="14.25" hidden="true" customHeight="false" outlineLevel="0" collapsed="false">
      <c r="A1034" s="1" t="n">
        <v>31</v>
      </c>
      <c r="B1034" s="1" t="s">
        <v>131</v>
      </c>
      <c r="C1034" s="1" t="s">
        <v>389</v>
      </c>
      <c r="D1034" s="23"/>
      <c r="G1034" s="21" t="n">
        <f aca="false">K1034/3.1416</f>
        <v>4.1380188439012</v>
      </c>
      <c r="H1034" s="1" t="n">
        <v>6</v>
      </c>
      <c r="I1034" s="1" t="s">
        <v>129</v>
      </c>
      <c r="J1034" s="1" t="s">
        <v>130</v>
      </c>
      <c r="K1034" s="1" t="n">
        <v>13</v>
      </c>
    </row>
    <row r="1035" customFormat="false" ht="14.25" hidden="true" customHeight="false" outlineLevel="0" collapsed="false">
      <c r="A1035" s="1" t="n">
        <v>31</v>
      </c>
      <c r="B1035" s="1" t="s">
        <v>131</v>
      </c>
      <c r="C1035" s="1" t="s">
        <v>389</v>
      </c>
      <c r="D1035" s="23"/>
      <c r="G1035" s="21" t="n">
        <f aca="false">K1035/3.1416</f>
        <v>3.50140056022409</v>
      </c>
      <c r="H1035" s="1" t="n">
        <v>7</v>
      </c>
      <c r="I1035" s="1" t="s">
        <v>129</v>
      </c>
      <c r="J1035" s="1" t="s">
        <v>130</v>
      </c>
      <c r="K1035" s="1" t="n">
        <v>11</v>
      </c>
    </row>
    <row r="1036" customFormat="false" ht="14.25" hidden="true" customHeight="false" outlineLevel="0" collapsed="false">
      <c r="A1036" s="1" t="n">
        <v>6</v>
      </c>
      <c r="B1036" s="1" t="s">
        <v>122</v>
      </c>
      <c r="C1036" s="1" t="s">
        <v>396</v>
      </c>
      <c r="D1036" s="23" t="s">
        <v>395</v>
      </c>
      <c r="E1036" s="1" t="s">
        <v>145</v>
      </c>
      <c r="F1036" s="2" t="s">
        <v>138</v>
      </c>
      <c r="G1036" s="21" t="n">
        <f aca="false">K1036/3.1416</f>
        <v>23.2365673542144</v>
      </c>
      <c r="H1036" s="1" t="n">
        <v>20</v>
      </c>
      <c r="I1036" s="2" t="s">
        <v>74</v>
      </c>
      <c r="J1036" s="1" t="s">
        <v>184</v>
      </c>
      <c r="K1036" s="1" t="n">
        <v>73</v>
      </c>
    </row>
    <row r="1037" customFormat="false" ht="14.25" hidden="true" customHeight="false" outlineLevel="0" collapsed="false">
      <c r="A1037" s="1" t="n">
        <v>8</v>
      </c>
      <c r="B1037" s="1" t="s">
        <v>122</v>
      </c>
      <c r="C1037" s="1" t="s">
        <v>396</v>
      </c>
      <c r="D1037" s="23"/>
      <c r="G1037" s="21" t="n">
        <f aca="false">K1037/3.1416</f>
        <v>3.81970970206264</v>
      </c>
      <c r="H1037" s="1" t="n">
        <v>3.5</v>
      </c>
      <c r="I1037" s="2" t="s">
        <v>127</v>
      </c>
      <c r="J1037" s="1" t="s">
        <v>184</v>
      </c>
      <c r="K1037" s="1" t="n">
        <v>12</v>
      </c>
    </row>
    <row r="1038" customFormat="false" ht="14.25" hidden="true" customHeight="false" outlineLevel="0" collapsed="false">
      <c r="A1038" s="1" t="n">
        <v>8</v>
      </c>
      <c r="B1038" s="1" t="s">
        <v>122</v>
      </c>
      <c r="C1038" s="1" t="s">
        <v>396</v>
      </c>
      <c r="D1038" s="23"/>
      <c r="G1038" s="21" t="n">
        <f aca="false">K1038/3.1416</f>
        <v>2.54647313470843</v>
      </c>
      <c r="H1038" s="1" t="n">
        <v>2.5</v>
      </c>
      <c r="I1038" s="2" t="s">
        <v>134</v>
      </c>
      <c r="J1038" s="1" t="s">
        <v>184</v>
      </c>
      <c r="K1038" s="1" t="n">
        <v>8</v>
      </c>
    </row>
    <row r="1039" customFormat="false" ht="14.25" hidden="true" customHeight="false" outlineLevel="0" collapsed="false">
      <c r="A1039" s="1" t="n">
        <v>8</v>
      </c>
      <c r="B1039" s="1" t="s">
        <v>122</v>
      </c>
      <c r="C1039" s="1" t="s">
        <v>396</v>
      </c>
      <c r="D1039" s="23"/>
      <c r="G1039" s="21" t="n">
        <f aca="false">K1039/3.1416</f>
        <v>2.54647313470843</v>
      </c>
      <c r="H1039" s="1" t="n">
        <v>2.5</v>
      </c>
      <c r="I1039" s="2" t="s">
        <v>134</v>
      </c>
      <c r="J1039" s="1" t="s">
        <v>184</v>
      </c>
      <c r="K1039" s="1" t="n">
        <v>8</v>
      </c>
    </row>
    <row r="1040" customFormat="false" ht="14.25" hidden="true" customHeight="false" outlineLevel="0" collapsed="false">
      <c r="A1040" s="1" t="n">
        <v>10</v>
      </c>
      <c r="B1040" s="1" t="s">
        <v>82</v>
      </c>
      <c r="C1040" s="1" t="s">
        <v>396</v>
      </c>
      <c r="D1040" s="23"/>
      <c r="G1040" s="21" t="n">
        <f aca="false">K1040/3.1416</f>
        <v>17.1886936592819</v>
      </c>
      <c r="H1040" s="1" t="n">
        <v>15</v>
      </c>
      <c r="I1040" s="2" t="s">
        <v>129</v>
      </c>
      <c r="J1040" s="1" t="s">
        <v>184</v>
      </c>
      <c r="K1040" s="1" t="n">
        <v>54</v>
      </c>
    </row>
    <row r="1041" customFormat="false" ht="14.25" hidden="true" customHeight="false" outlineLevel="0" collapsed="false">
      <c r="A1041" s="1" t="n">
        <v>24</v>
      </c>
      <c r="B1041" s="1" t="s">
        <v>135</v>
      </c>
      <c r="C1041" s="1" t="s">
        <v>396</v>
      </c>
      <c r="D1041" s="23"/>
      <c r="G1041" s="21" t="n">
        <f aca="false">K1041/3.1416</f>
        <v>12.7323656735421</v>
      </c>
      <c r="H1041" s="1" t="n">
        <v>12</v>
      </c>
      <c r="I1041" s="1" t="s">
        <v>129</v>
      </c>
      <c r="J1041" s="1" t="s">
        <v>184</v>
      </c>
      <c r="K1041" s="1" t="n">
        <v>40</v>
      </c>
    </row>
    <row r="1042" customFormat="false" ht="14.25" hidden="true" customHeight="false" outlineLevel="0" collapsed="false">
      <c r="A1042" s="1" t="n">
        <v>24</v>
      </c>
      <c r="B1042" s="1" t="s">
        <v>135</v>
      </c>
      <c r="C1042" s="1" t="s">
        <v>396</v>
      </c>
      <c r="D1042" s="23"/>
      <c r="G1042" s="21" t="n">
        <f aca="false">K1042/3.1416</f>
        <v>8.27603768780239</v>
      </c>
      <c r="H1042" s="1" t="n">
        <v>7</v>
      </c>
      <c r="I1042" s="1" t="s">
        <v>127</v>
      </c>
      <c r="J1042" s="1" t="s">
        <v>184</v>
      </c>
      <c r="K1042" s="1" t="n">
        <v>26</v>
      </c>
    </row>
    <row r="1043" customFormat="false" ht="14.25" hidden="true" customHeight="false" outlineLevel="0" collapsed="false">
      <c r="A1043" s="1" t="n">
        <v>29</v>
      </c>
      <c r="B1043" s="1" t="s">
        <v>131</v>
      </c>
      <c r="C1043" s="1" t="s">
        <v>396</v>
      </c>
      <c r="D1043" s="23" t="s">
        <v>189</v>
      </c>
      <c r="E1043" s="1" t="s">
        <v>145</v>
      </c>
      <c r="F1043" s="1" t="s">
        <v>120</v>
      </c>
      <c r="G1043" s="21" t="n">
        <f aca="false">K1043/3.1416</f>
        <v>10.1858925388337</v>
      </c>
      <c r="H1043" s="1" t="n">
        <v>15</v>
      </c>
      <c r="I1043" s="1" t="s">
        <v>129</v>
      </c>
      <c r="J1043" s="1" t="s">
        <v>184</v>
      </c>
      <c r="K1043" s="1" t="n">
        <v>32</v>
      </c>
    </row>
    <row r="1044" customFormat="false" ht="14.25" hidden="true" customHeight="false" outlineLevel="0" collapsed="false">
      <c r="A1044" s="1" t="n">
        <v>2</v>
      </c>
      <c r="B1044" s="1" t="s">
        <v>72</v>
      </c>
      <c r="C1044" s="1" t="s">
        <v>396</v>
      </c>
      <c r="D1044" s="23" t="s">
        <v>181</v>
      </c>
      <c r="E1044" s="1" t="s">
        <v>182</v>
      </c>
      <c r="F1044" s="1" t="s">
        <v>138</v>
      </c>
      <c r="G1044" s="21" t="n">
        <f aca="false">ROUND(K1044/PI(),0)</f>
        <v>4</v>
      </c>
      <c r="H1044" s="1" t="n">
        <v>7</v>
      </c>
      <c r="I1044" s="1" t="s">
        <v>129</v>
      </c>
      <c r="J1044" s="1" t="s">
        <v>158</v>
      </c>
      <c r="K1044" s="1" t="n">
        <v>14</v>
      </c>
    </row>
    <row r="1045" customFormat="false" ht="14.25" hidden="true" customHeight="false" outlineLevel="0" collapsed="false">
      <c r="A1045" s="1" t="n">
        <v>21</v>
      </c>
      <c r="B1045" s="1" t="s">
        <v>135</v>
      </c>
      <c r="C1045" s="1" t="s">
        <v>397</v>
      </c>
      <c r="D1045" s="23"/>
      <c r="G1045" s="21" t="n">
        <f aca="false">K1045/3.1416</f>
        <v>28.9661319073084</v>
      </c>
      <c r="H1045" s="1" t="n">
        <v>20</v>
      </c>
      <c r="I1045" s="1" t="s">
        <v>129</v>
      </c>
      <c r="J1045" s="1" t="s">
        <v>149</v>
      </c>
      <c r="K1045" s="1" t="n">
        <v>91</v>
      </c>
    </row>
    <row r="1046" customFormat="false" ht="14.25" hidden="true" customHeight="false" outlineLevel="0" collapsed="false">
      <c r="A1046" s="1" t="n">
        <v>1</v>
      </c>
      <c r="B1046" s="1" t="s">
        <v>82</v>
      </c>
      <c r="C1046" s="1" t="s">
        <v>398</v>
      </c>
      <c r="D1046" s="23" t="s">
        <v>399</v>
      </c>
      <c r="E1046" s="1" t="s">
        <v>400</v>
      </c>
      <c r="F1046" s="2" t="s">
        <v>187</v>
      </c>
      <c r="G1046" s="21" t="n">
        <f aca="false">K1046/3.1416</f>
        <v>15.9154570919277</v>
      </c>
      <c r="H1046" s="1" t="n">
        <v>0</v>
      </c>
      <c r="I1046" s="2" t="s">
        <v>74</v>
      </c>
      <c r="J1046" s="1" t="s">
        <v>130</v>
      </c>
      <c r="K1046" s="1" t="n">
        <v>50</v>
      </c>
    </row>
    <row r="1047" customFormat="false" ht="14.25" hidden="true" customHeight="false" outlineLevel="0" collapsed="false">
      <c r="A1047" s="1" t="n">
        <v>24</v>
      </c>
      <c r="B1047" s="1" t="s">
        <v>135</v>
      </c>
      <c r="C1047" s="1" t="s">
        <v>398</v>
      </c>
      <c r="D1047" s="23"/>
      <c r="G1047" s="21" t="n">
        <f aca="false">K1047/3.1416</f>
        <v>84.6702317290553</v>
      </c>
      <c r="H1047" s="1" t="n">
        <v>20</v>
      </c>
      <c r="I1047" s="1" t="s">
        <v>129</v>
      </c>
      <c r="J1047" s="1" t="s">
        <v>130</v>
      </c>
      <c r="K1047" s="1" t="n">
        <v>266</v>
      </c>
    </row>
    <row r="1048" customFormat="false" ht="14.25" hidden="true" customHeight="false" outlineLevel="0" collapsed="false">
      <c r="A1048" s="1" t="n">
        <v>7</v>
      </c>
      <c r="B1048" s="1" t="s">
        <v>101</v>
      </c>
      <c r="C1048" s="1" t="s">
        <v>398</v>
      </c>
      <c r="D1048" s="23" t="s">
        <v>183</v>
      </c>
      <c r="E1048" s="1" t="s">
        <v>157</v>
      </c>
      <c r="F1048" s="1" t="s">
        <v>138</v>
      </c>
      <c r="G1048" s="21" t="n">
        <f aca="false">ROUND(K1048/PI(),0)</f>
        <v>3</v>
      </c>
      <c r="H1048" s="1" t="n">
        <v>5</v>
      </c>
      <c r="I1048" s="1" t="s">
        <v>129</v>
      </c>
      <c r="J1048" s="1" t="s">
        <v>401</v>
      </c>
      <c r="K1048" s="1" t="n">
        <v>9</v>
      </c>
    </row>
    <row r="1049" customFormat="false" ht="14.25" hidden="true" customHeight="false" outlineLevel="0" collapsed="false">
      <c r="A1049" s="1" t="n">
        <v>8</v>
      </c>
      <c r="B1049" s="1" t="s">
        <v>101</v>
      </c>
      <c r="C1049" s="1" t="s">
        <v>398</v>
      </c>
      <c r="D1049" s="23"/>
      <c r="E1049" s="1" t="s">
        <v>142</v>
      </c>
      <c r="F1049" s="1" t="s">
        <v>120</v>
      </c>
      <c r="G1049" s="21" t="n">
        <f aca="false">ROUND(K1049/PI(),0)</f>
        <v>7</v>
      </c>
      <c r="H1049" s="1" t="n">
        <v>8</v>
      </c>
      <c r="I1049" s="1" t="s">
        <v>129</v>
      </c>
      <c r="J1049" s="1" t="s">
        <v>141</v>
      </c>
      <c r="K1049" s="1" t="n">
        <v>22</v>
      </c>
    </row>
    <row r="1050" customFormat="false" ht="14.25" hidden="true" customHeight="false" outlineLevel="0" collapsed="false">
      <c r="A1050" s="1" t="n">
        <v>14</v>
      </c>
      <c r="B1050" s="1" t="s">
        <v>131</v>
      </c>
      <c r="C1050" s="1" t="s">
        <v>402</v>
      </c>
      <c r="D1050" s="23"/>
      <c r="G1050" s="21" t="n">
        <f aca="false">K1050/3.1416</f>
        <v>2.54647313470843</v>
      </c>
      <c r="H1050" s="1" t="n">
        <v>4</v>
      </c>
      <c r="I1050" s="1" t="s">
        <v>129</v>
      </c>
      <c r="J1050" s="1" t="s">
        <v>149</v>
      </c>
      <c r="K1050" s="1" t="n">
        <v>8</v>
      </c>
    </row>
    <row r="1051" customFormat="false" ht="14.25" hidden="true" customHeight="false" outlineLevel="0" collapsed="false">
      <c r="A1051" s="1" t="n">
        <v>14</v>
      </c>
      <c r="B1051" s="1" t="s">
        <v>131</v>
      </c>
      <c r="C1051" s="1" t="s">
        <v>402</v>
      </c>
      <c r="D1051" s="23"/>
      <c r="G1051" s="21" t="n">
        <f aca="false">K1051/3.1416</f>
        <v>2.54647313470843</v>
      </c>
      <c r="H1051" s="1" t="n">
        <v>4</v>
      </c>
      <c r="I1051" s="1" t="s">
        <v>129</v>
      </c>
      <c r="J1051" s="1" t="s">
        <v>74</v>
      </c>
      <c r="K1051" s="1" t="n">
        <v>8</v>
      </c>
    </row>
    <row r="1052" customFormat="false" ht="14.25" hidden="true" customHeight="false" outlineLevel="0" collapsed="false">
      <c r="A1052" s="1" t="n">
        <v>15</v>
      </c>
      <c r="B1052" s="1" t="s">
        <v>131</v>
      </c>
      <c r="C1052" s="1" t="s">
        <v>402</v>
      </c>
      <c r="D1052" s="23" t="s">
        <v>403</v>
      </c>
      <c r="E1052" s="1" t="s">
        <v>156</v>
      </c>
      <c r="F1052" s="1" t="s">
        <v>120</v>
      </c>
      <c r="G1052" s="21" t="n">
        <f aca="false">K1052/3.1416</f>
        <v>4.1380188439012</v>
      </c>
      <c r="H1052" s="1" t="n">
        <v>4</v>
      </c>
      <c r="I1052" s="1" t="s">
        <v>129</v>
      </c>
      <c r="J1052" s="1" t="s">
        <v>74</v>
      </c>
      <c r="K1052" s="1" t="n">
        <v>13</v>
      </c>
    </row>
    <row r="1053" customFormat="false" ht="14.25" hidden="true" customHeight="false" outlineLevel="0" collapsed="false">
      <c r="A1053" s="1" t="n">
        <v>15</v>
      </c>
      <c r="B1053" s="1" t="s">
        <v>131</v>
      </c>
      <c r="C1053" s="1" t="s">
        <v>402</v>
      </c>
      <c r="D1053" s="23" t="s">
        <v>272</v>
      </c>
      <c r="E1053" s="1" t="s">
        <v>156</v>
      </c>
      <c r="F1053" s="1" t="s">
        <v>120</v>
      </c>
      <c r="G1053" s="21" t="n">
        <f aca="false">K1053/3.1416</f>
        <v>4.1380188439012</v>
      </c>
      <c r="H1053" s="1" t="n">
        <v>6</v>
      </c>
      <c r="I1053" s="1" t="s">
        <v>129</v>
      </c>
      <c r="J1053" s="1" t="s">
        <v>74</v>
      </c>
      <c r="K1053" s="1" t="n">
        <v>13</v>
      </c>
    </row>
    <row r="1054" customFormat="false" ht="14.25" hidden="true" customHeight="false" outlineLevel="0" collapsed="false">
      <c r="A1054" s="1" t="n">
        <v>16</v>
      </c>
      <c r="B1054" s="1" t="s">
        <v>131</v>
      </c>
      <c r="C1054" s="1" t="s">
        <v>402</v>
      </c>
      <c r="D1054" s="23"/>
      <c r="G1054" s="21" t="n">
        <f aca="false">K1054/3.1416</f>
        <v>4.45632798573975</v>
      </c>
      <c r="H1054" s="1" t="n">
        <v>5</v>
      </c>
      <c r="I1054" s="1" t="s">
        <v>129</v>
      </c>
      <c r="J1054" s="1" t="s">
        <v>74</v>
      </c>
      <c r="K1054" s="1" t="n">
        <v>14</v>
      </c>
    </row>
    <row r="1055" customFormat="false" ht="14.25" hidden="true" customHeight="false" outlineLevel="0" collapsed="false">
      <c r="A1055" s="1" t="n">
        <v>17</v>
      </c>
      <c r="B1055" s="1" t="s">
        <v>128</v>
      </c>
      <c r="C1055" s="1" t="s">
        <v>402</v>
      </c>
      <c r="D1055" s="23" t="s">
        <v>272</v>
      </c>
      <c r="E1055" s="1" t="s">
        <v>156</v>
      </c>
      <c r="F1055" s="1" t="s">
        <v>120</v>
      </c>
      <c r="G1055" s="21" t="n">
        <f aca="false">K1055/3.1416</f>
        <v>4.1380188439012</v>
      </c>
      <c r="H1055" s="1" t="n">
        <v>5</v>
      </c>
      <c r="I1055" s="1" t="s">
        <v>129</v>
      </c>
      <c r="J1055" s="1" t="s">
        <v>149</v>
      </c>
      <c r="K1055" s="1" t="n">
        <v>13</v>
      </c>
    </row>
    <row r="1056" customFormat="false" ht="14.25" hidden="true" customHeight="false" outlineLevel="0" collapsed="false">
      <c r="A1056" s="1" t="n">
        <v>17</v>
      </c>
      <c r="B1056" s="1" t="s">
        <v>128</v>
      </c>
      <c r="C1056" s="1" t="s">
        <v>402</v>
      </c>
      <c r="D1056" s="23" t="s">
        <v>272</v>
      </c>
      <c r="E1056" s="1" t="s">
        <v>156</v>
      </c>
      <c r="F1056" s="1" t="s">
        <v>120</v>
      </c>
      <c r="G1056" s="21" t="n">
        <f aca="false">K1056/3.1416</f>
        <v>2.54647313470843</v>
      </c>
      <c r="H1056" s="1" t="n">
        <v>3</v>
      </c>
      <c r="I1056" s="1" t="s">
        <v>129</v>
      </c>
      <c r="J1056" s="1" t="s">
        <v>149</v>
      </c>
      <c r="K1056" s="1" t="n">
        <v>8</v>
      </c>
    </row>
    <row r="1057" customFormat="false" ht="14.25" hidden="true" customHeight="false" outlineLevel="0" collapsed="false">
      <c r="A1057" s="1" t="n">
        <v>20</v>
      </c>
      <c r="B1057" s="1" t="s">
        <v>128</v>
      </c>
      <c r="C1057" s="1" t="s">
        <v>402</v>
      </c>
      <c r="D1057" s="23" t="s">
        <v>272</v>
      </c>
      <c r="E1057" s="1" t="s">
        <v>156</v>
      </c>
      <c r="F1057" s="1" t="s">
        <v>120</v>
      </c>
      <c r="G1057" s="21" t="n">
        <f aca="false">K1057/3.1416</f>
        <v>3.18309141838554</v>
      </c>
      <c r="H1057" s="1" t="n">
        <v>4</v>
      </c>
      <c r="I1057" s="1" t="s">
        <v>129</v>
      </c>
      <c r="J1057" s="1" t="s">
        <v>149</v>
      </c>
      <c r="K1057" s="1" t="n">
        <v>10</v>
      </c>
    </row>
    <row r="1058" customFormat="false" ht="14.25" hidden="true" customHeight="false" outlineLevel="0" collapsed="false">
      <c r="A1058" s="1" t="n">
        <v>21</v>
      </c>
      <c r="B1058" s="1" t="s">
        <v>135</v>
      </c>
      <c r="C1058" s="1" t="s">
        <v>402</v>
      </c>
      <c r="D1058" s="23" t="s">
        <v>404</v>
      </c>
      <c r="E1058" s="1" t="s">
        <v>156</v>
      </c>
      <c r="F1058" s="1" t="s">
        <v>120</v>
      </c>
      <c r="G1058" s="21" t="n">
        <f aca="false">K1058/3.1416</f>
        <v>2.86478227654698</v>
      </c>
      <c r="H1058" s="1" t="n">
        <v>3</v>
      </c>
      <c r="I1058" s="1" t="s">
        <v>129</v>
      </c>
      <c r="J1058" s="1" t="s">
        <v>149</v>
      </c>
      <c r="K1058" s="1" t="n">
        <v>9</v>
      </c>
    </row>
    <row r="1059" customFormat="false" ht="14.25" hidden="true" customHeight="false" outlineLevel="0" collapsed="false">
      <c r="A1059" s="1" t="n">
        <v>21</v>
      </c>
      <c r="B1059" s="1" t="s">
        <v>135</v>
      </c>
      <c r="C1059" s="1" t="s">
        <v>402</v>
      </c>
      <c r="D1059" s="23" t="s">
        <v>272</v>
      </c>
      <c r="E1059" s="1" t="s">
        <v>156</v>
      </c>
      <c r="F1059" s="1" t="s">
        <v>120</v>
      </c>
      <c r="G1059" s="21" t="n">
        <f aca="false">K1059/3.1416</f>
        <v>2.54647313470843</v>
      </c>
      <c r="H1059" s="1" t="n">
        <v>4</v>
      </c>
      <c r="I1059" s="1" t="s">
        <v>129</v>
      </c>
      <c r="J1059" s="1" t="s">
        <v>149</v>
      </c>
      <c r="K1059" s="1" t="n">
        <v>8</v>
      </c>
    </row>
    <row r="1060" customFormat="false" ht="14.25" hidden="true" customHeight="false" outlineLevel="0" collapsed="false">
      <c r="A1060" s="1" t="n">
        <v>22</v>
      </c>
      <c r="B1060" s="1" t="s">
        <v>135</v>
      </c>
      <c r="C1060" s="1" t="s">
        <v>402</v>
      </c>
      <c r="D1060" s="23" t="s">
        <v>272</v>
      </c>
      <c r="E1060" s="1" t="s">
        <v>156</v>
      </c>
      <c r="F1060" s="1" t="s">
        <v>120</v>
      </c>
      <c r="G1060" s="21" t="n">
        <f aca="false">K1060/3.1416</f>
        <v>5.72956455309397</v>
      </c>
      <c r="H1060" s="1" t="n">
        <v>6</v>
      </c>
      <c r="I1060" s="1" t="s">
        <v>129</v>
      </c>
      <c r="J1060" s="1" t="s">
        <v>149</v>
      </c>
      <c r="K1060" s="1" t="n">
        <v>18</v>
      </c>
    </row>
    <row r="1061" customFormat="false" ht="14.25" hidden="true" customHeight="false" outlineLevel="0" collapsed="false">
      <c r="A1061" s="1" t="n">
        <v>24</v>
      </c>
      <c r="B1061" s="1" t="s">
        <v>135</v>
      </c>
      <c r="C1061" s="1" t="s">
        <v>402</v>
      </c>
      <c r="D1061" s="23"/>
      <c r="G1061" s="21" t="n">
        <f aca="false">K1061/3.1416</f>
        <v>2.54647313470843</v>
      </c>
      <c r="H1061" s="1" t="n">
        <v>3</v>
      </c>
      <c r="I1061" s="1" t="s">
        <v>129</v>
      </c>
      <c r="J1061" s="1" t="s">
        <v>149</v>
      </c>
      <c r="K1061" s="1" t="n">
        <v>8</v>
      </c>
    </row>
    <row r="1062" customFormat="false" ht="14.25" hidden="true" customHeight="false" outlineLevel="0" collapsed="false">
      <c r="A1062" s="1" t="n">
        <v>2</v>
      </c>
      <c r="B1062" s="1" t="s">
        <v>72</v>
      </c>
      <c r="C1062" s="1" t="s">
        <v>402</v>
      </c>
      <c r="D1062" s="23" t="s">
        <v>272</v>
      </c>
      <c r="E1062" s="1" t="s">
        <v>156</v>
      </c>
      <c r="F1062" s="1" t="s">
        <v>120</v>
      </c>
      <c r="G1062" s="21" t="n">
        <f aca="false">ROUND(K1062/PI(),0)</f>
        <v>3</v>
      </c>
      <c r="H1062" s="1" t="n">
        <v>4</v>
      </c>
      <c r="I1062" s="1" t="s">
        <v>129</v>
      </c>
      <c r="J1062" s="1" t="s">
        <v>405</v>
      </c>
      <c r="K1062" s="1" t="n">
        <v>9</v>
      </c>
    </row>
    <row r="1063" customFormat="false" ht="14.25" hidden="true" customHeight="false" outlineLevel="0" collapsed="false">
      <c r="A1063" s="1" t="n">
        <v>2</v>
      </c>
      <c r="B1063" s="1" t="s">
        <v>72</v>
      </c>
      <c r="C1063" s="1" t="s">
        <v>402</v>
      </c>
      <c r="D1063" s="23" t="s">
        <v>406</v>
      </c>
      <c r="E1063" s="1" t="s">
        <v>210</v>
      </c>
      <c r="F1063" s="1" t="s">
        <v>138</v>
      </c>
      <c r="G1063" s="21" t="n">
        <f aca="false">ROUND(K1063/PI(),0)</f>
        <v>5</v>
      </c>
      <c r="H1063" s="1" t="n">
        <v>7</v>
      </c>
      <c r="I1063" s="1" t="s">
        <v>129</v>
      </c>
      <c r="J1063" s="1" t="s">
        <v>162</v>
      </c>
      <c r="K1063" s="1" t="n">
        <v>17</v>
      </c>
    </row>
    <row r="1064" customFormat="false" ht="14.25" hidden="true" customHeight="false" outlineLevel="0" collapsed="false">
      <c r="A1064" s="1" t="n">
        <v>2</v>
      </c>
      <c r="B1064" s="1" t="s">
        <v>72</v>
      </c>
      <c r="C1064" s="1" t="s">
        <v>402</v>
      </c>
      <c r="D1064" s="23" t="s">
        <v>406</v>
      </c>
      <c r="E1064" s="1" t="s">
        <v>210</v>
      </c>
      <c r="F1064" s="1" t="s">
        <v>138</v>
      </c>
      <c r="G1064" s="21" t="n">
        <f aca="false">ROUND(K1064/PI(),0)</f>
        <v>4</v>
      </c>
      <c r="H1064" s="1" t="n">
        <v>5</v>
      </c>
      <c r="I1064" s="1" t="s">
        <v>129</v>
      </c>
      <c r="J1064" s="1" t="s">
        <v>162</v>
      </c>
      <c r="K1064" s="1" t="n">
        <v>12</v>
      </c>
    </row>
    <row r="1065" customFormat="false" ht="14.25" hidden="true" customHeight="false" outlineLevel="0" collapsed="false">
      <c r="A1065" s="1" t="n">
        <v>3</v>
      </c>
      <c r="B1065" s="1" t="s">
        <v>82</v>
      </c>
      <c r="C1065" s="1" t="s">
        <v>402</v>
      </c>
      <c r="D1065" s="23" t="s">
        <v>272</v>
      </c>
      <c r="E1065" s="1" t="s">
        <v>156</v>
      </c>
      <c r="F1065" s="1" t="s">
        <v>120</v>
      </c>
      <c r="G1065" s="21" t="n">
        <f aca="false">ROUND(K1065/PI(),0)</f>
        <v>3</v>
      </c>
      <c r="H1065" s="1" t="n">
        <v>5</v>
      </c>
      <c r="I1065" s="1" t="s">
        <v>127</v>
      </c>
      <c r="J1065" s="1" t="s">
        <v>162</v>
      </c>
      <c r="K1065" s="1" t="n">
        <v>10</v>
      </c>
    </row>
    <row r="1066" customFormat="false" ht="14.25" hidden="true" customHeight="false" outlineLevel="0" collapsed="false">
      <c r="A1066" s="1" t="n">
        <v>5</v>
      </c>
      <c r="B1066" s="1" t="s">
        <v>92</v>
      </c>
      <c r="C1066" s="1" t="s">
        <v>402</v>
      </c>
      <c r="D1066" s="23"/>
      <c r="G1066" s="21" t="n">
        <f aca="false">ROUND(K1066/PI(),0)</f>
        <v>3</v>
      </c>
      <c r="H1066" s="1" t="n">
        <v>6</v>
      </c>
      <c r="I1066" s="1" t="s">
        <v>129</v>
      </c>
      <c r="J1066" s="1" t="s">
        <v>162</v>
      </c>
      <c r="K1066" s="1" t="n">
        <v>9</v>
      </c>
    </row>
    <row r="1067" customFormat="false" ht="14.25" hidden="true" customHeight="false" outlineLevel="0" collapsed="false">
      <c r="A1067" s="1" t="n">
        <v>5</v>
      </c>
      <c r="B1067" s="1" t="s">
        <v>92</v>
      </c>
      <c r="C1067" s="1" t="s">
        <v>402</v>
      </c>
      <c r="D1067" s="23"/>
      <c r="G1067" s="21" t="n">
        <f aca="false">ROUND(K1067/PI(),0)</f>
        <v>3</v>
      </c>
      <c r="H1067" s="1" t="n">
        <v>5</v>
      </c>
      <c r="I1067" s="1" t="s">
        <v>129</v>
      </c>
      <c r="J1067" s="1" t="s">
        <v>162</v>
      </c>
      <c r="K1067" s="1" t="n">
        <v>8.5</v>
      </c>
    </row>
    <row r="1068" customFormat="false" ht="14.25" hidden="true" customHeight="false" outlineLevel="0" collapsed="false">
      <c r="A1068" s="1" t="n">
        <v>7</v>
      </c>
      <c r="B1068" s="1" t="s">
        <v>101</v>
      </c>
      <c r="C1068" s="1" t="s">
        <v>402</v>
      </c>
      <c r="D1068" s="23"/>
      <c r="E1068" s="1" t="s">
        <v>186</v>
      </c>
      <c r="F1068" s="1" t="s">
        <v>120</v>
      </c>
      <c r="G1068" s="21" t="n">
        <f aca="false">ROUND(K1068/PI(),0)</f>
        <v>6</v>
      </c>
      <c r="H1068" s="1" t="n">
        <v>6</v>
      </c>
      <c r="I1068" s="1" t="s">
        <v>127</v>
      </c>
      <c r="J1068" s="1" t="s">
        <v>149</v>
      </c>
      <c r="K1068" s="1" t="n">
        <v>18</v>
      </c>
    </row>
    <row r="1069" customFormat="false" ht="14.25" hidden="true" customHeight="false" outlineLevel="0" collapsed="false">
      <c r="A1069" s="1" t="n">
        <v>8</v>
      </c>
      <c r="B1069" s="1" t="s">
        <v>101</v>
      </c>
      <c r="C1069" s="1" t="s">
        <v>402</v>
      </c>
      <c r="D1069" s="23" t="s">
        <v>171</v>
      </c>
      <c r="E1069" s="1" t="s">
        <v>142</v>
      </c>
      <c r="F1069" s="1" t="s">
        <v>138</v>
      </c>
      <c r="G1069" s="21" t="n">
        <f aca="false">ROUND(K1069/PI(),0)</f>
        <v>4</v>
      </c>
      <c r="H1069" s="1" t="n">
        <v>7</v>
      </c>
      <c r="I1069" s="1" t="s">
        <v>129</v>
      </c>
      <c r="J1069" s="1" t="s">
        <v>149</v>
      </c>
      <c r="K1069" s="1" t="n">
        <v>12</v>
      </c>
    </row>
    <row r="1070" customFormat="false" ht="14.25" hidden="true" customHeight="false" outlineLevel="0" collapsed="false">
      <c r="A1070" s="1" t="n">
        <v>2</v>
      </c>
      <c r="B1070" s="1" t="s">
        <v>82</v>
      </c>
      <c r="C1070" s="1" t="s">
        <v>78</v>
      </c>
      <c r="D1070" s="23" t="s">
        <v>407</v>
      </c>
      <c r="E1070" s="1" t="s">
        <v>408</v>
      </c>
      <c r="F1070" s="2" t="s">
        <v>138</v>
      </c>
      <c r="G1070" s="21" t="n">
        <f aca="false">K1070/3.1416</f>
        <v>35.0140056022409</v>
      </c>
      <c r="H1070" s="1" t="n">
        <v>0</v>
      </c>
      <c r="I1070" s="2" t="s">
        <v>74</v>
      </c>
      <c r="J1070" s="1" t="s">
        <v>409</v>
      </c>
      <c r="K1070" s="1" t="n">
        <v>110</v>
      </c>
    </row>
    <row r="1071" customFormat="false" ht="14.25" hidden="true" customHeight="false" outlineLevel="0" collapsed="false">
      <c r="A1071" s="1" t="n">
        <v>2</v>
      </c>
      <c r="B1071" s="1" t="s">
        <v>82</v>
      </c>
      <c r="C1071" s="1" t="s">
        <v>78</v>
      </c>
      <c r="D1071" s="23" t="s">
        <v>407</v>
      </c>
      <c r="E1071" s="1" t="s">
        <v>408</v>
      </c>
      <c r="F1071" s="2" t="s">
        <v>138</v>
      </c>
      <c r="G1071" s="21" t="n">
        <f aca="false">K1071/3.1416</f>
        <v>35.0140056022409</v>
      </c>
      <c r="H1071" s="1" t="n">
        <v>0</v>
      </c>
      <c r="I1071" s="2" t="s">
        <v>74</v>
      </c>
      <c r="J1071" s="1" t="s">
        <v>409</v>
      </c>
      <c r="K1071" s="1" t="n">
        <v>110</v>
      </c>
    </row>
    <row r="1072" customFormat="false" ht="14.25" hidden="true" customHeight="false" outlineLevel="0" collapsed="false">
      <c r="A1072" s="1" t="n">
        <v>2</v>
      </c>
      <c r="B1072" s="1" t="s">
        <v>82</v>
      </c>
      <c r="C1072" s="1" t="s">
        <v>78</v>
      </c>
      <c r="D1072" s="23" t="s">
        <v>407</v>
      </c>
      <c r="E1072" s="1" t="s">
        <v>408</v>
      </c>
      <c r="F1072" s="2" t="s">
        <v>138</v>
      </c>
      <c r="G1072" s="21" t="n">
        <f aca="false">K1072/3.1416</f>
        <v>35.0140056022409</v>
      </c>
      <c r="H1072" s="1" t="n">
        <v>0</v>
      </c>
      <c r="I1072" s="2" t="s">
        <v>74</v>
      </c>
      <c r="J1072" s="1" t="s">
        <v>409</v>
      </c>
      <c r="K1072" s="1" t="n">
        <v>110</v>
      </c>
    </row>
    <row r="1073" customFormat="false" ht="14.25" hidden="true" customHeight="false" outlineLevel="0" collapsed="false">
      <c r="A1073" s="1" t="n">
        <v>2</v>
      </c>
      <c r="B1073" s="1" t="s">
        <v>82</v>
      </c>
      <c r="C1073" s="1" t="s">
        <v>78</v>
      </c>
      <c r="D1073" s="23" t="s">
        <v>407</v>
      </c>
      <c r="E1073" s="1" t="s">
        <v>408</v>
      </c>
      <c r="F1073" s="2" t="s">
        <v>138</v>
      </c>
      <c r="G1073" s="21" t="n">
        <f aca="false">K1073/3.1416</f>
        <v>35.0140056022409</v>
      </c>
      <c r="H1073" s="1" t="n">
        <v>0</v>
      </c>
      <c r="I1073" s="2" t="s">
        <v>74</v>
      </c>
      <c r="J1073" s="1" t="s">
        <v>409</v>
      </c>
      <c r="K1073" s="1" t="n">
        <v>110</v>
      </c>
    </row>
    <row r="1074" customFormat="false" ht="14.25" hidden="true" customHeight="false" outlineLevel="0" collapsed="false">
      <c r="A1074" s="1" t="n">
        <v>4</v>
      </c>
      <c r="B1074" s="1" t="s">
        <v>122</v>
      </c>
      <c r="C1074" s="1" t="s">
        <v>78</v>
      </c>
      <c r="D1074" s="28" t="s">
        <v>407</v>
      </c>
      <c r="E1074" s="29" t="s">
        <v>408</v>
      </c>
      <c r="F1074" s="30" t="s">
        <v>138</v>
      </c>
      <c r="G1074" s="21" t="n">
        <f aca="false">K1074/3.1416</f>
        <v>3.18309141838554</v>
      </c>
      <c r="H1074" s="1" t="n">
        <v>0</v>
      </c>
      <c r="I1074" s="2" t="s">
        <v>74</v>
      </c>
      <c r="J1074" s="1" t="s">
        <v>409</v>
      </c>
      <c r="K1074" s="1" t="n">
        <v>10</v>
      </c>
    </row>
    <row r="1075" customFormat="false" ht="14.25" hidden="true" customHeight="false" outlineLevel="0" collapsed="false">
      <c r="A1075" s="1" t="n">
        <v>4</v>
      </c>
      <c r="B1075" s="1" t="s">
        <v>122</v>
      </c>
      <c r="C1075" s="1" t="s">
        <v>78</v>
      </c>
      <c r="D1075" s="23" t="s">
        <v>407</v>
      </c>
      <c r="E1075" s="1" t="s">
        <v>408</v>
      </c>
      <c r="F1075" s="2" t="s">
        <v>138</v>
      </c>
      <c r="G1075" s="21" t="n">
        <f aca="false">K1075/3.1416</f>
        <v>9.54927425515661</v>
      </c>
      <c r="H1075" s="1" t="n">
        <v>0</v>
      </c>
      <c r="I1075" s="2" t="s">
        <v>74</v>
      </c>
      <c r="J1075" s="1" t="s">
        <v>409</v>
      </c>
      <c r="K1075" s="1" t="n">
        <v>30</v>
      </c>
    </row>
    <row r="1076" customFormat="false" ht="14.25" hidden="true" customHeight="false" outlineLevel="0" collapsed="false">
      <c r="A1076" s="1" t="n">
        <v>4</v>
      </c>
      <c r="B1076" s="1" t="s">
        <v>122</v>
      </c>
      <c r="C1076" s="1" t="s">
        <v>78</v>
      </c>
      <c r="D1076" s="23" t="s">
        <v>407</v>
      </c>
      <c r="E1076" s="1" t="s">
        <v>408</v>
      </c>
      <c r="F1076" s="2" t="s">
        <v>138</v>
      </c>
      <c r="G1076" s="21" t="n">
        <f aca="false">K1076/3.1416</f>
        <v>9.54927425515661</v>
      </c>
      <c r="H1076" s="1" t="n">
        <v>0</v>
      </c>
      <c r="I1076" s="2" t="s">
        <v>74</v>
      </c>
      <c r="J1076" s="1" t="s">
        <v>409</v>
      </c>
      <c r="K1076" s="1" t="n">
        <v>30</v>
      </c>
    </row>
    <row r="1077" customFormat="false" ht="14.25" hidden="true" customHeight="false" outlineLevel="0" collapsed="false">
      <c r="A1077" s="1" t="n">
        <v>4</v>
      </c>
      <c r="B1077" s="1" t="s">
        <v>122</v>
      </c>
      <c r="C1077" s="1" t="s">
        <v>78</v>
      </c>
      <c r="D1077" s="23" t="s">
        <v>407</v>
      </c>
      <c r="E1077" s="1" t="s">
        <v>408</v>
      </c>
      <c r="F1077" s="2" t="s">
        <v>138</v>
      </c>
      <c r="G1077" s="21" t="n">
        <f aca="false">K1077/3.1416</f>
        <v>9.54927425515661</v>
      </c>
      <c r="H1077" s="1" t="n">
        <v>0</v>
      </c>
      <c r="I1077" s="2" t="s">
        <v>74</v>
      </c>
      <c r="J1077" s="1" t="s">
        <v>409</v>
      </c>
      <c r="K1077" s="1" t="n">
        <v>30</v>
      </c>
    </row>
    <row r="1078" customFormat="false" ht="14.25" hidden="true" customHeight="false" outlineLevel="0" collapsed="false">
      <c r="A1078" s="1" t="n">
        <v>5</v>
      </c>
      <c r="B1078" s="1" t="s">
        <v>122</v>
      </c>
      <c r="C1078" s="1" t="s">
        <v>78</v>
      </c>
      <c r="D1078" s="23" t="s">
        <v>407</v>
      </c>
      <c r="E1078" s="1" t="s">
        <v>408</v>
      </c>
      <c r="F1078" s="2" t="s">
        <v>138</v>
      </c>
      <c r="G1078" s="21" t="n">
        <f aca="false">K1078/3.1416</f>
        <v>9.54927425515661</v>
      </c>
      <c r="H1078" s="1" t="n">
        <v>0</v>
      </c>
      <c r="I1078" s="2" t="s">
        <v>74</v>
      </c>
      <c r="J1078" s="1" t="s">
        <v>409</v>
      </c>
      <c r="K1078" s="1" t="n">
        <v>30</v>
      </c>
    </row>
    <row r="1079" customFormat="false" ht="14.25" hidden="true" customHeight="false" outlineLevel="0" collapsed="false">
      <c r="A1079" s="1" t="n">
        <v>5</v>
      </c>
      <c r="B1079" s="1" t="s">
        <v>122</v>
      </c>
      <c r="C1079" s="1" t="s">
        <v>78</v>
      </c>
      <c r="D1079" s="23" t="s">
        <v>407</v>
      </c>
      <c r="E1079" s="1" t="s">
        <v>408</v>
      </c>
      <c r="F1079" s="2" t="s">
        <v>138</v>
      </c>
      <c r="G1079" s="21" t="n">
        <f aca="false">K1079/3.1416</f>
        <v>9.54927425515661</v>
      </c>
      <c r="H1079" s="1" t="n">
        <v>0</v>
      </c>
      <c r="I1079" s="2" t="s">
        <v>74</v>
      </c>
      <c r="J1079" s="1" t="s">
        <v>409</v>
      </c>
      <c r="K1079" s="1" t="n">
        <v>30</v>
      </c>
    </row>
    <row r="1080" customFormat="false" ht="14.25" hidden="true" customHeight="false" outlineLevel="0" collapsed="false">
      <c r="A1080" s="1" t="n">
        <v>5</v>
      </c>
      <c r="B1080" s="1" t="s">
        <v>122</v>
      </c>
      <c r="C1080" s="1" t="s">
        <v>78</v>
      </c>
      <c r="D1080" s="23" t="s">
        <v>407</v>
      </c>
      <c r="E1080" s="1" t="s">
        <v>408</v>
      </c>
      <c r="F1080" s="2" t="s">
        <v>138</v>
      </c>
      <c r="G1080" s="21" t="n">
        <f aca="false">K1080/3.1416</f>
        <v>9.54927425515661</v>
      </c>
      <c r="H1080" s="1" t="n">
        <v>0</v>
      </c>
      <c r="I1080" s="2" t="s">
        <v>74</v>
      </c>
      <c r="J1080" s="1" t="s">
        <v>409</v>
      </c>
      <c r="K1080" s="1" t="n">
        <v>30</v>
      </c>
    </row>
    <row r="1081" customFormat="false" ht="14.25" hidden="true" customHeight="false" outlineLevel="0" collapsed="false">
      <c r="A1081" s="1" t="n">
        <v>5</v>
      </c>
      <c r="B1081" s="1" t="s">
        <v>122</v>
      </c>
      <c r="C1081" s="1" t="s">
        <v>78</v>
      </c>
      <c r="D1081" s="23" t="s">
        <v>407</v>
      </c>
      <c r="E1081" s="1" t="s">
        <v>408</v>
      </c>
      <c r="F1081" s="2" t="s">
        <v>138</v>
      </c>
      <c r="G1081" s="21" t="n">
        <f aca="false">K1081/3.1416</f>
        <v>9.54927425515661</v>
      </c>
      <c r="H1081" s="1" t="n">
        <v>0</v>
      </c>
      <c r="I1081" s="2" t="s">
        <v>74</v>
      </c>
      <c r="J1081" s="1" t="s">
        <v>409</v>
      </c>
      <c r="K1081" s="1" t="n">
        <v>30</v>
      </c>
    </row>
    <row r="1082" customFormat="false" ht="14.25" hidden="true" customHeight="false" outlineLevel="0" collapsed="false">
      <c r="A1082" s="1" t="n">
        <v>5</v>
      </c>
      <c r="B1082" s="1" t="s">
        <v>122</v>
      </c>
      <c r="C1082" s="1" t="s">
        <v>78</v>
      </c>
      <c r="D1082" s="23" t="s">
        <v>407</v>
      </c>
      <c r="E1082" s="1" t="s">
        <v>408</v>
      </c>
      <c r="F1082" s="2" t="s">
        <v>138</v>
      </c>
      <c r="G1082" s="21" t="n">
        <f aca="false">K1082/3.1416</f>
        <v>9.54927425515661</v>
      </c>
      <c r="H1082" s="1" t="n">
        <v>0</v>
      </c>
      <c r="I1082" s="2" t="s">
        <v>74</v>
      </c>
      <c r="J1082" s="1" t="s">
        <v>409</v>
      </c>
      <c r="K1082" s="1" t="n">
        <v>30</v>
      </c>
    </row>
    <row r="1083" customFormat="false" ht="14.25" hidden="true" customHeight="false" outlineLevel="0" collapsed="false">
      <c r="A1083" s="1" t="n">
        <v>5</v>
      </c>
      <c r="B1083" s="1" t="s">
        <v>122</v>
      </c>
      <c r="C1083" s="1" t="s">
        <v>78</v>
      </c>
      <c r="D1083" s="23" t="s">
        <v>407</v>
      </c>
      <c r="E1083" s="1" t="s">
        <v>408</v>
      </c>
      <c r="F1083" s="2" t="s">
        <v>138</v>
      </c>
      <c r="G1083" s="21" t="n">
        <f aca="false">K1083/3.1416</f>
        <v>9.54927425515661</v>
      </c>
      <c r="H1083" s="1" t="n">
        <v>0</v>
      </c>
      <c r="I1083" s="2" t="s">
        <v>74</v>
      </c>
      <c r="J1083" s="1" t="s">
        <v>409</v>
      </c>
      <c r="K1083" s="1" t="n">
        <v>30</v>
      </c>
    </row>
    <row r="1084" customFormat="false" ht="14.25" hidden="true" customHeight="false" outlineLevel="0" collapsed="false">
      <c r="A1084" s="1" t="n">
        <v>7</v>
      </c>
      <c r="B1084" s="1" t="s">
        <v>122</v>
      </c>
      <c r="C1084" s="1" t="s">
        <v>78</v>
      </c>
      <c r="D1084" s="23" t="s">
        <v>407</v>
      </c>
      <c r="E1084" s="1" t="s">
        <v>408</v>
      </c>
      <c r="F1084" s="2" t="s">
        <v>138</v>
      </c>
      <c r="G1084" s="21" t="n">
        <f aca="false">K1084/3.1416</f>
        <v>9.54927425515661</v>
      </c>
      <c r="H1084" s="1" t="n">
        <v>8</v>
      </c>
      <c r="I1084" s="2" t="s">
        <v>74</v>
      </c>
      <c r="J1084" s="1" t="s">
        <v>409</v>
      </c>
      <c r="K1084" s="1" t="n">
        <v>30</v>
      </c>
    </row>
    <row r="1085" customFormat="false" ht="14.25" hidden="true" customHeight="false" outlineLevel="0" collapsed="false">
      <c r="A1085" s="1" t="n">
        <v>17</v>
      </c>
      <c r="B1085" s="1" t="s">
        <v>128</v>
      </c>
      <c r="C1085" s="1" t="s">
        <v>78</v>
      </c>
      <c r="D1085" s="23" t="s">
        <v>407</v>
      </c>
      <c r="E1085" s="1" t="s">
        <v>408</v>
      </c>
      <c r="F1085" s="2" t="s">
        <v>138</v>
      </c>
      <c r="G1085" s="21" t="n">
        <f aca="false">K1085/3.1416</f>
        <v>3.18309141838554</v>
      </c>
      <c r="H1085" s="1" t="n">
        <v>4</v>
      </c>
      <c r="I1085" s="1" t="s">
        <v>129</v>
      </c>
      <c r="J1085" s="1" t="s">
        <v>409</v>
      </c>
      <c r="K1085" s="1" t="n">
        <v>10</v>
      </c>
    </row>
    <row r="1086" customFormat="false" ht="14.25" hidden="true" customHeight="false" outlineLevel="0" collapsed="false">
      <c r="A1086" s="1" t="n">
        <v>17</v>
      </c>
      <c r="B1086" s="1" t="s">
        <v>128</v>
      </c>
      <c r="C1086" s="1" t="s">
        <v>78</v>
      </c>
      <c r="D1086" s="23" t="s">
        <v>407</v>
      </c>
      <c r="E1086" s="1" t="s">
        <v>408</v>
      </c>
      <c r="F1086" s="2" t="s">
        <v>138</v>
      </c>
      <c r="G1086" s="21" t="n">
        <f aca="false">K1086/3.1416</f>
        <v>3.18309141838554</v>
      </c>
      <c r="H1086" s="1" t="n">
        <v>4</v>
      </c>
      <c r="I1086" s="1" t="s">
        <v>129</v>
      </c>
      <c r="J1086" s="1" t="s">
        <v>409</v>
      </c>
      <c r="K1086" s="1" t="n">
        <v>10</v>
      </c>
    </row>
    <row r="1087" customFormat="false" ht="14.25" hidden="true" customHeight="false" outlineLevel="0" collapsed="false">
      <c r="A1087" s="1" t="n">
        <v>19</v>
      </c>
      <c r="B1087" s="1" t="s">
        <v>128</v>
      </c>
      <c r="C1087" s="1" t="s">
        <v>78</v>
      </c>
      <c r="D1087" s="23" t="s">
        <v>407</v>
      </c>
      <c r="E1087" s="1" t="s">
        <v>408</v>
      </c>
      <c r="F1087" s="2" t="s">
        <v>138</v>
      </c>
      <c r="G1087" s="21" t="n">
        <f aca="false">K1087/3.1416</f>
        <v>25.4647313470843</v>
      </c>
      <c r="H1087" s="1" t="n">
        <v>7</v>
      </c>
      <c r="I1087" s="1" t="s">
        <v>129</v>
      </c>
      <c r="J1087" s="1" t="s">
        <v>409</v>
      </c>
      <c r="K1087" s="1" t="n">
        <v>80</v>
      </c>
    </row>
    <row r="1088" customFormat="false" ht="14.25" hidden="true" customHeight="false" outlineLevel="0" collapsed="false">
      <c r="A1088" s="1" t="n">
        <v>22</v>
      </c>
      <c r="B1088" s="1" t="s">
        <v>135</v>
      </c>
      <c r="C1088" s="1" t="s">
        <v>78</v>
      </c>
      <c r="D1088" s="23" t="s">
        <v>407</v>
      </c>
      <c r="E1088" s="1" t="s">
        <v>408</v>
      </c>
      <c r="F1088" s="1" t="s">
        <v>138</v>
      </c>
      <c r="G1088" s="21" t="n">
        <f aca="false">K1088/3.1416</f>
        <v>34.6956964604023</v>
      </c>
      <c r="H1088" s="1" t="n">
        <v>15</v>
      </c>
      <c r="I1088" s="1" t="s">
        <v>129</v>
      </c>
      <c r="J1088" s="1" t="s">
        <v>409</v>
      </c>
      <c r="K1088" s="1" t="n">
        <v>109</v>
      </c>
    </row>
    <row r="1089" customFormat="false" ht="14.25" hidden="true" customHeight="false" outlineLevel="0" collapsed="false">
      <c r="A1089" s="1" t="n">
        <v>22</v>
      </c>
      <c r="B1089" s="1" t="s">
        <v>135</v>
      </c>
      <c r="C1089" s="1" t="s">
        <v>78</v>
      </c>
      <c r="D1089" s="23" t="s">
        <v>407</v>
      </c>
      <c r="E1089" s="1" t="s">
        <v>408</v>
      </c>
      <c r="F1089" s="2" t="s">
        <v>138</v>
      </c>
      <c r="G1089" s="21" t="n">
        <f aca="false">K1089/3.1416</f>
        <v>35.9689330277566</v>
      </c>
      <c r="H1089" s="1" t="n">
        <v>15</v>
      </c>
      <c r="I1089" s="1" t="s">
        <v>129</v>
      </c>
      <c r="J1089" s="1" t="s">
        <v>409</v>
      </c>
      <c r="K1089" s="1" t="n">
        <v>113</v>
      </c>
    </row>
    <row r="1090" customFormat="false" ht="14.25" hidden="true" customHeight="false" outlineLevel="0" collapsed="false">
      <c r="A1090" s="1" t="n">
        <v>24</v>
      </c>
      <c r="B1090" s="1" t="s">
        <v>135</v>
      </c>
      <c r="C1090" s="1" t="s">
        <v>78</v>
      </c>
      <c r="D1090" s="23" t="s">
        <v>407</v>
      </c>
      <c r="E1090" s="1" t="s">
        <v>408</v>
      </c>
      <c r="F1090" s="1" t="s">
        <v>138</v>
      </c>
      <c r="G1090" s="21" t="n">
        <f aca="false">K1090/3.1416</f>
        <v>3.18309141838554</v>
      </c>
      <c r="H1090" s="1" t="n">
        <v>5</v>
      </c>
      <c r="I1090" s="1" t="s">
        <v>129</v>
      </c>
      <c r="J1090" s="1" t="s">
        <v>409</v>
      </c>
      <c r="K1090" s="1" t="n">
        <v>10</v>
      </c>
    </row>
    <row r="1091" customFormat="false" ht="14.25" hidden="true" customHeight="false" outlineLevel="0" collapsed="false">
      <c r="A1091" s="1" t="n">
        <v>25</v>
      </c>
      <c r="B1091" s="1" t="s">
        <v>135</v>
      </c>
      <c r="C1091" s="1" t="s">
        <v>78</v>
      </c>
      <c r="D1091" s="23" t="s">
        <v>407</v>
      </c>
      <c r="E1091" s="1" t="s">
        <v>408</v>
      </c>
      <c r="F1091" s="1" t="s">
        <v>138</v>
      </c>
      <c r="G1091" s="21" t="n">
        <f aca="false">K1091/3.1416</f>
        <v>32.785841609371</v>
      </c>
      <c r="H1091" s="1" t="n">
        <v>10</v>
      </c>
      <c r="I1091" s="1" t="s">
        <v>129</v>
      </c>
      <c r="J1091" s="1" t="s">
        <v>409</v>
      </c>
      <c r="K1091" s="1" t="n">
        <v>103</v>
      </c>
    </row>
    <row r="1092" customFormat="false" ht="14.25" hidden="true" customHeight="false" outlineLevel="0" collapsed="false">
      <c r="A1092" s="1" t="n">
        <v>25</v>
      </c>
      <c r="B1092" s="1" t="s">
        <v>135</v>
      </c>
      <c r="C1092" s="1" t="s">
        <v>78</v>
      </c>
      <c r="D1092" s="23" t="s">
        <v>407</v>
      </c>
      <c r="E1092" s="1" t="s">
        <v>408</v>
      </c>
      <c r="F1092" s="1" t="s">
        <v>138</v>
      </c>
      <c r="G1092" s="21" t="n">
        <f aca="false">K1092/3.1416</f>
        <v>22.2816399286988</v>
      </c>
      <c r="H1092" s="1" t="n">
        <v>8</v>
      </c>
      <c r="I1092" s="1" t="s">
        <v>129</v>
      </c>
      <c r="J1092" s="1" t="s">
        <v>409</v>
      </c>
      <c r="K1092" s="1" t="n">
        <v>70</v>
      </c>
    </row>
    <row r="1093" customFormat="false" ht="14.25" hidden="true" customHeight="false" outlineLevel="0" collapsed="false">
      <c r="A1093" s="1" t="n">
        <v>25</v>
      </c>
      <c r="B1093" s="1" t="s">
        <v>135</v>
      </c>
      <c r="C1093" s="1" t="s">
        <v>78</v>
      </c>
      <c r="D1093" s="23" t="s">
        <v>407</v>
      </c>
      <c r="E1093" s="1" t="s">
        <v>408</v>
      </c>
      <c r="F1093" s="1" t="s">
        <v>138</v>
      </c>
      <c r="G1093" s="21" t="n">
        <f aca="false">K1093/3.1416</f>
        <v>30.2393684746626</v>
      </c>
      <c r="H1093" s="1" t="n">
        <v>12</v>
      </c>
      <c r="I1093" s="1" t="s">
        <v>129</v>
      </c>
      <c r="J1093" s="1" t="s">
        <v>409</v>
      </c>
      <c r="K1093" s="1" t="n">
        <v>95</v>
      </c>
    </row>
    <row r="1094" customFormat="false" ht="14.25" hidden="true" customHeight="false" outlineLevel="0" collapsed="false">
      <c r="A1094" s="1" t="n">
        <v>25</v>
      </c>
      <c r="B1094" s="1" t="s">
        <v>135</v>
      </c>
      <c r="C1094" s="1" t="s">
        <v>78</v>
      </c>
      <c r="D1094" s="23" t="s">
        <v>407</v>
      </c>
      <c r="E1094" s="1" t="s">
        <v>408</v>
      </c>
      <c r="F1094" s="1" t="s">
        <v>138</v>
      </c>
      <c r="G1094" s="21" t="n">
        <f aca="false">K1094/3.1416</f>
        <v>33.1041507512096</v>
      </c>
      <c r="H1094" s="1" t="n">
        <v>12</v>
      </c>
      <c r="I1094" s="1" t="s">
        <v>129</v>
      </c>
      <c r="J1094" s="1" t="s">
        <v>409</v>
      </c>
      <c r="K1094" s="1" t="n">
        <v>104</v>
      </c>
    </row>
    <row r="1095" customFormat="false" ht="14.25" hidden="true" customHeight="false" outlineLevel="0" collapsed="false">
      <c r="A1095" s="1" t="n">
        <v>25</v>
      </c>
      <c r="B1095" s="1" t="s">
        <v>135</v>
      </c>
      <c r="C1095" s="1" t="s">
        <v>78</v>
      </c>
      <c r="D1095" s="23" t="s">
        <v>407</v>
      </c>
      <c r="E1095" s="1" t="s">
        <v>408</v>
      </c>
      <c r="F1095" s="1" t="s">
        <v>138</v>
      </c>
      <c r="G1095" s="21" t="n">
        <f aca="false">K1095/3.1416</f>
        <v>22.9182582123759</v>
      </c>
      <c r="H1095" s="1" t="n">
        <v>6</v>
      </c>
      <c r="I1095" s="1" t="s">
        <v>129</v>
      </c>
      <c r="J1095" s="1" t="s">
        <v>409</v>
      </c>
      <c r="K1095" s="1" t="n">
        <v>72</v>
      </c>
    </row>
    <row r="1096" customFormat="false" ht="14.25" hidden="true" customHeight="false" outlineLevel="0" collapsed="false">
      <c r="A1096" s="1" t="n">
        <v>26</v>
      </c>
      <c r="B1096" s="1" t="s">
        <v>135</v>
      </c>
      <c r="C1096" s="1" t="s">
        <v>78</v>
      </c>
      <c r="D1096" s="23" t="s">
        <v>407</v>
      </c>
      <c r="E1096" s="1" t="s">
        <v>408</v>
      </c>
      <c r="F1096" s="1" t="s">
        <v>138</v>
      </c>
      <c r="G1096" s="21" t="n">
        <f aca="false">K1096/3.1416</f>
        <v>21.6450216450216</v>
      </c>
      <c r="H1096" s="1" t="n">
        <v>6</v>
      </c>
      <c r="I1096" s="1" t="s">
        <v>129</v>
      </c>
      <c r="J1096" s="1" t="s">
        <v>409</v>
      </c>
      <c r="K1096" s="1" t="n">
        <v>68</v>
      </c>
    </row>
    <row r="1097" customFormat="false" ht="14.25" hidden="true" customHeight="false" outlineLevel="0" collapsed="false">
      <c r="A1097" s="1" t="n">
        <v>26</v>
      </c>
      <c r="B1097" s="1" t="s">
        <v>135</v>
      </c>
      <c r="C1097" s="1" t="s">
        <v>78</v>
      </c>
      <c r="D1097" s="23" t="s">
        <v>407</v>
      </c>
      <c r="E1097" s="1" t="s">
        <v>408</v>
      </c>
      <c r="F1097" s="1" t="s">
        <v>138</v>
      </c>
      <c r="G1097" s="21" t="n">
        <f aca="false">K1097/3.1416</f>
        <v>3.18309141838554</v>
      </c>
      <c r="H1097" s="1" t="n">
        <v>6</v>
      </c>
      <c r="I1097" s="1" t="s">
        <v>129</v>
      </c>
      <c r="J1097" s="1" t="s">
        <v>409</v>
      </c>
      <c r="K1097" s="1" t="n">
        <v>10</v>
      </c>
    </row>
    <row r="1098" customFormat="false" ht="14.25" hidden="true" customHeight="false" outlineLevel="0" collapsed="false">
      <c r="A1098" s="1" t="n">
        <v>29</v>
      </c>
      <c r="B1098" s="1" t="s">
        <v>131</v>
      </c>
      <c r="C1098" s="1" t="s">
        <v>78</v>
      </c>
      <c r="D1098" s="23" t="s">
        <v>407</v>
      </c>
      <c r="E1098" s="1" t="s">
        <v>408</v>
      </c>
      <c r="F1098" s="1" t="s">
        <v>138</v>
      </c>
      <c r="G1098" s="21" t="n">
        <f aca="false">K1098/3.1416</f>
        <v>3.18309141838554</v>
      </c>
      <c r="H1098" s="1" t="n">
        <v>2</v>
      </c>
      <c r="I1098" s="1" t="s">
        <v>129</v>
      </c>
      <c r="J1098" s="1" t="s">
        <v>409</v>
      </c>
      <c r="K1098" s="1" t="n">
        <v>10</v>
      </c>
    </row>
    <row r="1099" customFormat="false" ht="14.25" hidden="true" customHeight="false" outlineLevel="0" collapsed="false">
      <c r="A1099" s="1" t="n">
        <v>29</v>
      </c>
      <c r="B1099" s="1" t="s">
        <v>131</v>
      </c>
      <c r="C1099" s="1" t="s">
        <v>78</v>
      </c>
      <c r="D1099" s="23" t="s">
        <v>407</v>
      </c>
      <c r="E1099" s="1" t="s">
        <v>408</v>
      </c>
      <c r="F1099" s="1" t="s">
        <v>138</v>
      </c>
      <c r="G1099" s="21" t="n">
        <f aca="false">K1099/3.1416</f>
        <v>3.18309141838554</v>
      </c>
      <c r="H1099" s="1" t="n">
        <v>3</v>
      </c>
      <c r="I1099" s="1" t="s">
        <v>129</v>
      </c>
      <c r="J1099" s="1" t="s">
        <v>409</v>
      </c>
      <c r="K1099" s="1" t="n">
        <v>10</v>
      </c>
    </row>
    <row r="1100" customFormat="false" ht="14.25" hidden="true" customHeight="false" outlineLevel="0" collapsed="false">
      <c r="A1100" s="1" t="n">
        <v>30</v>
      </c>
      <c r="B1100" s="1" t="s">
        <v>131</v>
      </c>
      <c r="C1100" s="1" t="s">
        <v>78</v>
      </c>
      <c r="D1100" s="23" t="s">
        <v>407</v>
      </c>
      <c r="E1100" s="1" t="s">
        <v>408</v>
      </c>
      <c r="F1100" s="1" t="s">
        <v>138</v>
      </c>
      <c r="G1100" s="21" t="n">
        <f aca="false">K1100/3.1416</f>
        <v>3.18309141838554</v>
      </c>
      <c r="H1100" s="1" t="n">
        <v>5</v>
      </c>
      <c r="I1100" s="1" t="s">
        <v>129</v>
      </c>
      <c r="J1100" s="1" t="s">
        <v>409</v>
      </c>
      <c r="K1100" s="1" t="n">
        <v>10</v>
      </c>
    </row>
    <row r="1101" customFormat="false" ht="14.25" hidden="true" customHeight="false" outlineLevel="0" collapsed="false">
      <c r="A1101" s="1" t="n">
        <v>31</v>
      </c>
      <c r="B1101" s="1" t="s">
        <v>131</v>
      </c>
      <c r="C1101" s="1" t="s">
        <v>78</v>
      </c>
      <c r="D1101" s="23" t="s">
        <v>407</v>
      </c>
      <c r="E1101" s="1" t="s">
        <v>408</v>
      </c>
      <c r="F1101" s="1" t="s">
        <v>138</v>
      </c>
      <c r="G1101" s="21" t="n">
        <f aca="false">K1101/3.1416</f>
        <v>6.36618283677107</v>
      </c>
      <c r="H1101" s="1" t="n">
        <v>5</v>
      </c>
      <c r="I1101" s="1" t="s">
        <v>129</v>
      </c>
      <c r="J1101" s="1" t="s">
        <v>409</v>
      </c>
      <c r="K1101" s="1" t="n">
        <v>20</v>
      </c>
    </row>
    <row r="1102" customFormat="false" ht="14.25" hidden="true" customHeight="false" outlineLevel="0" collapsed="false">
      <c r="A1102" s="1" t="n">
        <v>2</v>
      </c>
      <c r="B1102" s="1" t="s">
        <v>72</v>
      </c>
      <c r="C1102" s="1" t="s">
        <v>78</v>
      </c>
      <c r="D1102" s="23" t="s">
        <v>407</v>
      </c>
      <c r="E1102" s="1" t="s">
        <v>408</v>
      </c>
      <c r="F1102" s="1" t="s">
        <v>138</v>
      </c>
      <c r="G1102" s="21" t="n">
        <f aca="false">ROUND(K1102/PI(),0)</f>
        <v>6</v>
      </c>
      <c r="H1102" s="1" t="n">
        <v>5</v>
      </c>
      <c r="I1102" s="1" t="s">
        <v>129</v>
      </c>
      <c r="J1102" s="1" t="s">
        <v>410</v>
      </c>
      <c r="K1102" s="1" t="n">
        <v>20</v>
      </c>
    </row>
    <row r="1103" customFormat="false" ht="14.25" hidden="true" customHeight="false" outlineLevel="0" collapsed="false">
      <c r="A1103" s="1" t="n">
        <v>5</v>
      </c>
      <c r="B1103" s="1" t="s">
        <v>92</v>
      </c>
      <c r="C1103" s="1" t="s">
        <v>78</v>
      </c>
      <c r="D1103" s="23" t="s">
        <v>407</v>
      </c>
      <c r="E1103" s="1" t="s">
        <v>408</v>
      </c>
      <c r="F1103" s="1" t="s">
        <v>138</v>
      </c>
      <c r="G1103" s="21" t="n">
        <f aca="false">ROUND(K1103/PI(),0)</f>
        <v>5</v>
      </c>
      <c r="H1103" s="1" t="n">
        <v>12</v>
      </c>
      <c r="I1103" s="1" t="s">
        <v>129</v>
      </c>
      <c r="J1103" s="1" t="s">
        <v>243</v>
      </c>
      <c r="K1103" s="1" t="n">
        <v>17</v>
      </c>
    </row>
    <row r="1104" customFormat="false" ht="14.25" hidden="true" customHeight="false" outlineLevel="0" collapsed="false">
      <c r="A1104" s="1" t="n">
        <v>23</v>
      </c>
      <c r="B1104" s="1" t="s">
        <v>135</v>
      </c>
      <c r="C1104" s="1" t="s">
        <v>411</v>
      </c>
      <c r="D1104" s="23" t="s">
        <v>392</v>
      </c>
      <c r="E1104" s="1" t="s">
        <v>139</v>
      </c>
      <c r="F1104" s="1" t="s">
        <v>138</v>
      </c>
      <c r="G1104" s="21" t="n">
        <f aca="false">K1104/3.1416</f>
        <v>2.54647313470843</v>
      </c>
      <c r="H1104" s="1" t="n">
        <v>3</v>
      </c>
      <c r="I1104" s="1" t="s">
        <v>129</v>
      </c>
      <c r="J1104" s="1" t="s">
        <v>130</v>
      </c>
      <c r="K1104" s="1" t="n">
        <v>8</v>
      </c>
    </row>
    <row r="1105" customFormat="false" ht="14.25" hidden="true" customHeight="false" outlineLevel="0" collapsed="false">
      <c r="A1105" s="1" t="n">
        <v>2</v>
      </c>
      <c r="B1105" s="1" t="s">
        <v>82</v>
      </c>
      <c r="C1105" s="1" t="s">
        <v>412</v>
      </c>
      <c r="D1105" s="23"/>
      <c r="G1105" s="21" t="n">
        <f aca="false">K1105/3.1416</f>
        <v>3.18309141838554</v>
      </c>
      <c r="H1105" s="1" t="n">
        <v>0</v>
      </c>
      <c r="I1105" s="2" t="s">
        <v>74</v>
      </c>
      <c r="J1105" s="1" t="s">
        <v>149</v>
      </c>
      <c r="K1105" s="1" t="n">
        <v>10</v>
      </c>
    </row>
    <row r="1106" customFormat="false" ht="14.25" hidden="true" customHeight="false" outlineLevel="0" collapsed="false">
      <c r="A1106" s="1" t="n">
        <v>7</v>
      </c>
      <c r="B1106" s="1" t="s">
        <v>122</v>
      </c>
      <c r="C1106" s="1" t="s">
        <v>412</v>
      </c>
      <c r="D1106" s="23" t="s">
        <v>232</v>
      </c>
      <c r="E1106" s="1" t="s">
        <v>233</v>
      </c>
      <c r="F1106" s="2" t="s">
        <v>138</v>
      </c>
      <c r="G1106" s="21" t="n">
        <f aca="false">K1106/3.1416</f>
        <v>7.95772854596384</v>
      </c>
      <c r="H1106" s="1" t="n">
        <v>10</v>
      </c>
      <c r="I1106" s="2" t="s">
        <v>74</v>
      </c>
      <c r="J1106" s="1" t="s">
        <v>149</v>
      </c>
      <c r="K1106" s="1" t="n">
        <v>25</v>
      </c>
    </row>
    <row r="1107" customFormat="false" ht="14.25" hidden="true" customHeight="false" outlineLevel="0" collapsed="false">
      <c r="A1107" s="1" t="n">
        <v>8</v>
      </c>
      <c r="B1107" s="1" t="s">
        <v>122</v>
      </c>
      <c r="C1107" s="1" t="s">
        <v>412</v>
      </c>
      <c r="D1107" s="23" t="s">
        <v>413</v>
      </c>
      <c r="E1107" s="1" t="s">
        <v>137</v>
      </c>
      <c r="F1107" s="2" t="s">
        <v>120</v>
      </c>
      <c r="G1107" s="21" t="n">
        <f aca="false">K1107/3.1416</f>
        <v>3.50140056022409</v>
      </c>
      <c r="H1107" s="1" t="n">
        <v>2.5</v>
      </c>
      <c r="I1107" s="2" t="s">
        <v>127</v>
      </c>
      <c r="J1107" s="1" t="s">
        <v>149</v>
      </c>
      <c r="K1107" s="1" t="n">
        <v>11</v>
      </c>
    </row>
    <row r="1108" customFormat="false" ht="14.25" hidden="true" customHeight="false" outlineLevel="0" collapsed="false">
      <c r="A1108" s="1" t="n">
        <v>11</v>
      </c>
      <c r="B1108" s="1" t="s">
        <v>82</v>
      </c>
      <c r="C1108" s="1" t="s">
        <v>412</v>
      </c>
      <c r="D1108" s="23" t="s">
        <v>232</v>
      </c>
      <c r="E1108" s="1" t="s">
        <v>233</v>
      </c>
      <c r="F1108" s="2" t="s">
        <v>138</v>
      </c>
      <c r="G1108" s="21" t="n">
        <f aca="false">K1108/3.1416</f>
        <v>3.81970970206264</v>
      </c>
      <c r="H1108" s="1" t="n">
        <v>5</v>
      </c>
      <c r="I1108" s="1" t="s">
        <v>129</v>
      </c>
      <c r="J1108" s="1" t="s">
        <v>149</v>
      </c>
      <c r="K1108" s="1" t="n">
        <v>12</v>
      </c>
    </row>
    <row r="1109" customFormat="false" ht="14.25" hidden="true" customHeight="false" outlineLevel="0" collapsed="false">
      <c r="A1109" s="1" t="n">
        <v>12</v>
      </c>
      <c r="B1109" s="1" t="s">
        <v>128</v>
      </c>
      <c r="C1109" s="1" t="s">
        <v>412</v>
      </c>
      <c r="D1109" s="23"/>
      <c r="G1109" s="21" t="n">
        <f aca="false">K1109/3.1416</f>
        <v>9.54927425515661</v>
      </c>
      <c r="H1109" s="1" t="n">
        <v>7</v>
      </c>
      <c r="I1109" s="1" t="s">
        <v>127</v>
      </c>
      <c r="J1109" s="1" t="s">
        <v>149</v>
      </c>
      <c r="K1109" s="1" t="n">
        <v>30</v>
      </c>
    </row>
    <row r="1110" customFormat="false" ht="14.25" hidden="true" customHeight="false" outlineLevel="0" collapsed="false">
      <c r="A1110" s="1" t="n">
        <v>13</v>
      </c>
      <c r="B1110" s="1" t="s">
        <v>128</v>
      </c>
      <c r="C1110" s="1" t="s">
        <v>412</v>
      </c>
      <c r="D1110" s="23"/>
      <c r="G1110" s="21" t="n">
        <f aca="false">2*K1110/3.1416</f>
        <v>8.27603768780239</v>
      </c>
      <c r="H1110" s="1" t="n">
        <v>4</v>
      </c>
      <c r="I1110" s="1" t="s">
        <v>127</v>
      </c>
      <c r="J1110" s="1" t="s">
        <v>149</v>
      </c>
      <c r="K1110" s="1" t="n">
        <v>13</v>
      </c>
    </row>
    <row r="1111" customFormat="false" ht="14.25" hidden="true" customHeight="false" outlineLevel="0" collapsed="false">
      <c r="A1111" s="1" t="n">
        <v>18</v>
      </c>
      <c r="B1111" s="1" t="s">
        <v>128</v>
      </c>
      <c r="C1111" s="1" t="s">
        <v>412</v>
      </c>
      <c r="D1111" s="23"/>
      <c r="G1111" s="21" t="n">
        <f aca="false">K1111/3.1416</f>
        <v>4.45632798573975</v>
      </c>
      <c r="H1111" s="1" t="n">
        <v>8</v>
      </c>
      <c r="I1111" s="1" t="s">
        <v>129</v>
      </c>
      <c r="J1111" s="1" t="s">
        <v>149</v>
      </c>
      <c r="K1111" s="1" t="n">
        <v>14</v>
      </c>
    </row>
    <row r="1112" customFormat="false" ht="14.25" hidden="true" customHeight="false" outlineLevel="0" collapsed="false">
      <c r="A1112" s="1" t="n">
        <v>19</v>
      </c>
      <c r="B1112" s="1" t="s">
        <v>128</v>
      </c>
      <c r="C1112" s="1" t="s">
        <v>412</v>
      </c>
      <c r="D1112" s="23"/>
      <c r="G1112" s="21" t="n">
        <f aca="false">K1112/3.1416</f>
        <v>6.36618283677107</v>
      </c>
      <c r="H1112" s="1" t="n">
        <v>7</v>
      </c>
      <c r="I1112" s="1" t="s">
        <v>129</v>
      </c>
      <c r="J1112" s="1" t="s">
        <v>149</v>
      </c>
      <c r="K1112" s="1" t="n">
        <v>20</v>
      </c>
    </row>
    <row r="1113" customFormat="false" ht="14.25" hidden="true" customHeight="false" outlineLevel="0" collapsed="false">
      <c r="A1113" s="1" t="n">
        <v>26</v>
      </c>
      <c r="B1113" s="1" t="s">
        <v>135</v>
      </c>
      <c r="C1113" s="1" t="s">
        <v>412</v>
      </c>
      <c r="D1113" s="23"/>
      <c r="G1113" s="21" t="n">
        <f aca="false">K1113/3.1416</f>
        <v>5.72956455309397</v>
      </c>
      <c r="H1113" s="1" t="n">
        <v>8</v>
      </c>
      <c r="I1113" s="1" t="s">
        <v>127</v>
      </c>
      <c r="J1113" s="1" t="s">
        <v>149</v>
      </c>
      <c r="K1113" s="1" t="n">
        <v>18</v>
      </c>
    </row>
    <row r="1114" customFormat="false" ht="14.25" hidden="true" customHeight="false" outlineLevel="0" collapsed="false">
      <c r="A1114" s="1" t="n">
        <v>27</v>
      </c>
      <c r="B1114" s="1" t="s">
        <v>82</v>
      </c>
      <c r="C1114" s="1" t="s">
        <v>412</v>
      </c>
      <c r="D1114" s="23"/>
      <c r="G1114" s="21" t="n">
        <f aca="false">K1114/3.1416</f>
        <v>5.09294626941686</v>
      </c>
      <c r="H1114" s="1" t="n">
        <v>10</v>
      </c>
      <c r="I1114" s="1" t="s">
        <v>129</v>
      </c>
      <c r="J1114" s="1" t="s">
        <v>149</v>
      </c>
      <c r="K1114" s="1" t="n">
        <v>16</v>
      </c>
    </row>
    <row r="1115" customFormat="false" ht="14.25" hidden="true" customHeight="false" outlineLevel="0" collapsed="false">
      <c r="A1115" s="1" t="n">
        <v>28</v>
      </c>
      <c r="B1115" s="1" t="s">
        <v>82</v>
      </c>
      <c r="C1115" s="1" t="s">
        <v>412</v>
      </c>
      <c r="D1115" s="23"/>
      <c r="G1115" s="21" t="n">
        <f aca="false">K1115/3.1416</f>
        <v>3.50140056022409</v>
      </c>
      <c r="H1115" s="1" t="n">
        <v>6</v>
      </c>
      <c r="I1115" s="1" t="s">
        <v>129</v>
      </c>
      <c r="J1115" s="1" t="s">
        <v>149</v>
      </c>
      <c r="K1115" s="1" t="n">
        <v>11</v>
      </c>
    </row>
    <row r="1116" customFormat="false" ht="14.25" hidden="true" customHeight="false" outlineLevel="0" collapsed="false">
      <c r="A1116" s="1" t="n">
        <v>7</v>
      </c>
      <c r="B1116" s="1" t="s">
        <v>122</v>
      </c>
      <c r="C1116" s="1" t="s">
        <v>414</v>
      </c>
      <c r="D1116" s="23"/>
      <c r="G1116" s="21" t="n">
        <f aca="false">K1116/3.1416</f>
        <v>3.18309141838554</v>
      </c>
      <c r="H1116" s="1" t="n">
        <v>2.5</v>
      </c>
      <c r="I1116" s="2" t="s">
        <v>74</v>
      </c>
      <c r="J1116" s="1" t="s">
        <v>74</v>
      </c>
      <c r="K1116" s="1" t="n">
        <v>10</v>
      </c>
    </row>
    <row r="1117" customFormat="false" ht="14.25" hidden="true" customHeight="false" outlineLevel="0" collapsed="false">
      <c r="A1117" s="1" t="n">
        <v>9</v>
      </c>
      <c r="B1117" s="1" t="s">
        <v>122</v>
      </c>
      <c r="C1117" s="1" t="s">
        <v>414</v>
      </c>
      <c r="D1117" s="23"/>
      <c r="G1117" s="21" t="n">
        <f aca="false">K1117/3.1416</f>
        <v>14.0056022408964</v>
      </c>
      <c r="H1117" s="1" t="n">
        <v>15</v>
      </c>
      <c r="I1117" s="2" t="s">
        <v>129</v>
      </c>
      <c r="J1117" s="1" t="s">
        <v>149</v>
      </c>
      <c r="K1117" s="1" t="n">
        <v>44</v>
      </c>
    </row>
    <row r="1118" customFormat="false" ht="14.25" hidden="true" customHeight="false" outlineLevel="0" collapsed="false">
      <c r="A1118" s="1" t="n">
        <v>11</v>
      </c>
      <c r="B1118" s="1" t="s">
        <v>82</v>
      </c>
      <c r="C1118" s="1" t="s">
        <v>414</v>
      </c>
      <c r="D1118" s="23"/>
      <c r="G1118" s="21" t="n">
        <f aca="false">K1118/3.1416</f>
        <v>2.54647313470843</v>
      </c>
      <c r="H1118" s="1" t="n">
        <v>2.5</v>
      </c>
      <c r="I1118" s="1" t="s">
        <v>129</v>
      </c>
      <c r="J1118" s="1" t="s">
        <v>149</v>
      </c>
      <c r="K1118" s="1" t="n">
        <v>8</v>
      </c>
    </row>
    <row r="1119" customFormat="false" ht="14.25" hidden="true" customHeight="false" outlineLevel="0" collapsed="false">
      <c r="A1119" s="1" t="n">
        <v>11</v>
      </c>
      <c r="B1119" s="1" t="s">
        <v>82</v>
      </c>
      <c r="C1119" s="1" t="s">
        <v>414</v>
      </c>
      <c r="D1119" s="23"/>
      <c r="G1119" s="21" t="n">
        <f aca="false">K1119/3.1416</f>
        <v>4.7746371275783</v>
      </c>
      <c r="H1119" s="1" t="n">
        <v>5</v>
      </c>
      <c r="I1119" s="1" t="s">
        <v>134</v>
      </c>
      <c r="J1119" s="1" t="s">
        <v>149</v>
      </c>
      <c r="K1119" s="1" t="n">
        <v>15</v>
      </c>
    </row>
    <row r="1120" customFormat="false" ht="14.25" hidden="true" customHeight="false" outlineLevel="0" collapsed="false">
      <c r="A1120" s="1" t="n">
        <v>11</v>
      </c>
      <c r="B1120" s="1" t="s">
        <v>82</v>
      </c>
      <c r="C1120" s="1" t="s">
        <v>414</v>
      </c>
      <c r="D1120" s="23"/>
      <c r="G1120" s="21" t="n">
        <f aca="false">K1120/3.1416</f>
        <v>5.41125541125541</v>
      </c>
      <c r="H1120" s="1" t="n">
        <v>7</v>
      </c>
      <c r="I1120" s="1" t="s">
        <v>127</v>
      </c>
      <c r="J1120" s="1" t="s">
        <v>149</v>
      </c>
      <c r="K1120" s="1" t="n">
        <v>17</v>
      </c>
    </row>
    <row r="1121" customFormat="false" ht="14.25" hidden="true" customHeight="false" outlineLevel="0" collapsed="false">
      <c r="A1121" s="1" t="n">
        <v>12</v>
      </c>
      <c r="B1121" s="1" t="s">
        <v>128</v>
      </c>
      <c r="C1121" s="1" t="s">
        <v>414</v>
      </c>
      <c r="D1121" s="23" t="s">
        <v>216</v>
      </c>
      <c r="E1121" s="1" t="s">
        <v>203</v>
      </c>
      <c r="F1121" s="1" t="s">
        <v>138</v>
      </c>
      <c r="G1121" s="21" t="n">
        <f aca="false">K1121/3.1416</f>
        <v>3.18309141838554</v>
      </c>
      <c r="H1121" s="1" t="n">
        <v>5</v>
      </c>
      <c r="I1121" s="1" t="s">
        <v>129</v>
      </c>
      <c r="J1121" s="1" t="s">
        <v>149</v>
      </c>
      <c r="K1121" s="1" t="n">
        <v>10</v>
      </c>
    </row>
    <row r="1122" customFormat="false" ht="14.25" hidden="true" customHeight="false" outlineLevel="0" collapsed="false">
      <c r="A1122" s="1" t="n">
        <v>14</v>
      </c>
      <c r="B1122" s="1" t="s">
        <v>131</v>
      </c>
      <c r="C1122" s="1" t="s">
        <v>414</v>
      </c>
      <c r="D1122" s="23"/>
      <c r="G1122" s="21" t="n">
        <f aca="false">K1122/3.1416</f>
        <v>4.1380188439012</v>
      </c>
      <c r="H1122" s="1" t="n">
        <v>6</v>
      </c>
      <c r="I1122" s="1" t="s">
        <v>127</v>
      </c>
      <c r="J1122" s="1" t="s">
        <v>74</v>
      </c>
      <c r="K1122" s="1" t="n">
        <v>13</v>
      </c>
    </row>
    <row r="1123" customFormat="false" ht="14.25" hidden="true" customHeight="false" outlineLevel="0" collapsed="false">
      <c r="A1123" s="1" t="n">
        <v>14</v>
      </c>
      <c r="B1123" s="1" t="s">
        <v>131</v>
      </c>
      <c r="C1123" s="1" t="s">
        <v>414</v>
      </c>
      <c r="D1123" s="23"/>
      <c r="G1123" s="21" t="n">
        <f aca="false">K1123/3.1416</f>
        <v>4.1380188439012</v>
      </c>
      <c r="H1123" s="1" t="n">
        <v>6</v>
      </c>
      <c r="I1123" s="1" t="s">
        <v>127</v>
      </c>
      <c r="J1123" s="1" t="s">
        <v>74</v>
      </c>
      <c r="K1123" s="1" t="n">
        <v>13</v>
      </c>
    </row>
    <row r="1124" customFormat="false" ht="14.25" hidden="true" customHeight="false" outlineLevel="0" collapsed="false">
      <c r="A1124" s="1" t="n">
        <v>17</v>
      </c>
      <c r="B1124" s="1" t="s">
        <v>128</v>
      </c>
      <c r="C1124" s="1" t="s">
        <v>414</v>
      </c>
      <c r="D1124" s="23" t="s">
        <v>238</v>
      </c>
      <c r="E1124" s="1" t="s">
        <v>239</v>
      </c>
      <c r="F1124" s="1" t="s">
        <v>120</v>
      </c>
      <c r="G1124" s="21" t="n">
        <f aca="false">K1124/3.1416</f>
        <v>2.54647313470843</v>
      </c>
      <c r="H1124" s="1" t="n">
        <v>3</v>
      </c>
      <c r="I1124" s="1" t="s">
        <v>127</v>
      </c>
      <c r="J1124" s="1" t="s">
        <v>130</v>
      </c>
      <c r="K1124" s="1" t="n">
        <v>8</v>
      </c>
    </row>
    <row r="1125" customFormat="false" ht="14.25" hidden="true" customHeight="false" outlineLevel="0" collapsed="false">
      <c r="A1125" s="1" t="n">
        <v>18</v>
      </c>
      <c r="B1125" s="1" t="s">
        <v>128</v>
      </c>
      <c r="C1125" s="1" t="s">
        <v>414</v>
      </c>
      <c r="D1125" s="23"/>
      <c r="G1125" s="21" t="n">
        <f aca="false">K1125/3.1416</f>
        <v>3.50140056022409</v>
      </c>
      <c r="H1125" s="1" t="n">
        <v>6</v>
      </c>
      <c r="I1125" s="1" t="s">
        <v>127</v>
      </c>
      <c r="J1125" s="1" t="s">
        <v>149</v>
      </c>
      <c r="K1125" s="1" t="n">
        <v>11</v>
      </c>
    </row>
    <row r="1126" customFormat="false" ht="14.25" hidden="true" customHeight="false" outlineLevel="0" collapsed="false">
      <c r="A1126" s="1" t="n">
        <v>20</v>
      </c>
      <c r="B1126" s="1" t="s">
        <v>128</v>
      </c>
      <c r="C1126" s="1" t="s">
        <v>414</v>
      </c>
      <c r="D1126" s="23"/>
      <c r="E1126" s="1" t="s">
        <v>156</v>
      </c>
      <c r="F1126" s="1" t="s">
        <v>120</v>
      </c>
      <c r="G1126" s="21" t="n">
        <f aca="false">K1126/3.1416</f>
        <v>3.18309141838554</v>
      </c>
      <c r="H1126" s="1" t="n">
        <v>4.5</v>
      </c>
      <c r="I1126" s="1" t="s">
        <v>129</v>
      </c>
      <c r="J1126" s="1" t="s">
        <v>149</v>
      </c>
      <c r="K1126" s="1" t="n">
        <v>10</v>
      </c>
    </row>
    <row r="1127" customFormat="false" ht="14.25" hidden="true" customHeight="false" outlineLevel="0" collapsed="false">
      <c r="A1127" s="1" t="n">
        <v>23</v>
      </c>
      <c r="B1127" s="1" t="s">
        <v>135</v>
      </c>
      <c r="C1127" s="1" t="s">
        <v>414</v>
      </c>
      <c r="D1127" s="23" t="s">
        <v>300</v>
      </c>
      <c r="E1127" s="1" t="s">
        <v>210</v>
      </c>
      <c r="F1127" s="1" t="s">
        <v>120</v>
      </c>
      <c r="G1127" s="21" t="n">
        <f aca="false">K1127/3.1416</f>
        <v>2.54647313470843</v>
      </c>
      <c r="H1127" s="1" t="n">
        <v>3</v>
      </c>
      <c r="I1127" s="1" t="s">
        <v>129</v>
      </c>
      <c r="J1127" s="1" t="s">
        <v>149</v>
      </c>
      <c r="K1127" s="1" t="n">
        <v>8</v>
      </c>
    </row>
    <row r="1128" customFormat="false" ht="14.25" hidden="true" customHeight="false" outlineLevel="0" collapsed="false">
      <c r="A1128" s="1" t="n">
        <v>27</v>
      </c>
      <c r="B1128" s="1" t="s">
        <v>82</v>
      </c>
      <c r="C1128" s="1" t="s">
        <v>414</v>
      </c>
      <c r="D1128" s="23"/>
      <c r="G1128" s="21" t="n">
        <f aca="false">K1128/3.1416</f>
        <v>6.36618283677107</v>
      </c>
      <c r="H1128" s="1" t="n">
        <v>10</v>
      </c>
      <c r="I1128" s="1" t="s">
        <v>129</v>
      </c>
      <c r="J1128" s="1" t="s">
        <v>130</v>
      </c>
      <c r="K1128" s="1" t="n">
        <v>20</v>
      </c>
    </row>
    <row r="1129" customFormat="false" ht="14.25" hidden="true" customHeight="false" outlineLevel="0" collapsed="false">
      <c r="A1129" s="1" t="n">
        <v>28</v>
      </c>
      <c r="B1129" s="1" t="s">
        <v>82</v>
      </c>
      <c r="C1129" s="1" t="s">
        <v>414</v>
      </c>
      <c r="D1129" s="23"/>
      <c r="G1129" s="21" t="n">
        <f aca="false">K1129/3.1416</f>
        <v>5.41125541125541</v>
      </c>
      <c r="H1129" s="1" t="n">
        <v>7</v>
      </c>
      <c r="I1129" s="1" t="s">
        <v>127</v>
      </c>
      <c r="J1129" s="1" t="s">
        <v>149</v>
      </c>
      <c r="K1129" s="1" t="n">
        <v>17</v>
      </c>
    </row>
    <row r="1130" customFormat="false" ht="14.25" hidden="true" customHeight="false" outlineLevel="0" collapsed="false">
      <c r="A1130" s="1" t="n">
        <v>29</v>
      </c>
      <c r="B1130" s="1" t="s">
        <v>131</v>
      </c>
      <c r="C1130" s="1" t="s">
        <v>414</v>
      </c>
      <c r="D1130" s="23"/>
      <c r="G1130" s="21" t="n">
        <f aca="false">K1130/3.1416</f>
        <v>3.50140056022409</v>
      </c>
      <c r="H1130" s="1" t="n">
        <v>6</v>
      </c>
      <c r="I1130" s="1" t="s">
        <v>129</v>
      </c>
      <c r="J1130" s="1" t="s">
        <v>149</v>
      </c>
      <c r="K1130" s="1" t="n">
        <v>11</v>
      </c>
    </row>
    <row r="1131" customFormat="false" ht="14.25" hidden="true" customHeight="false" outlineLevel="0" collapsed="false">
      <c r="A1131" s="1" t="n">
        <v>29</v>
      </c>
      <c r="B1131" s="1" t="s">
        <v>131</v>
      </c>
      <c r="C1131" s="1" t="s">
        <v>414</v>
      </c>
      <c r="D1131" s="23"/>
      <c r="G1131" s="21" t="n">
        <f aca="false">K1131/3.1416</f>
        <v>4.45632798573975</v>
      </c>
      <c r="H1131" s="1" t="n">
        <v>7</v>
      </c>
      <c r="I1131" s="1" t="s">
        <v>129</v>
      </c>
      <c r="J1131" s="1" t="s">
        <v>149</v>
      </c>
      <c r="K1131" s="1" t="n">
        <v>14</v>
      </c>
    </row>
    <row r="1132" customFormat="false" ht="14.25" hidden="true" customHeight="false" outlineLevel="0" collapsed="false">
      <c r="A1132" s="1" t="n">
        <v>30</v>
      </c>
      <c r="B1132" s="1" t="s">
        <v>131</v>
      </c>
      <c r="C1132" s="1" t="s">
        <v>414</v>
      </c>
      <c r="D1132" s="23" t="s">
        <v>212</v>
      </c>
      <c r="E1132" s="1" t="s">
        <v>124</v>
      </c>
      <c r="F1132" s="1" t="s">
        <v>138</v>
      </c>
      <c r="G1132" s="21" t="n">
        <f aca="false">K1132/3.1416</f>
        <v>4.1380188439012</v>
      </c>
      <c r="H1132" s="1" t="n">
        <v>7</v>
      </c>
      <c r="I1132" s="1" t="s">
        <v>129</v>
      </c>
      <c r="J1132" s="1" t="s">
        <v>149</v>
      </c>
      <c r="K1132" s="1" t="n">
        <v>13</v>
      </c>
    </row>
    <row r="1133" customFormat="false" ht="14.25" hidden="true" customHeight="false" outlineLevel="0" collapsed="false">
      <c r="A1133" s="1" t="n">
        <v>6</v>
      </c>
      <c r="B1133" s="1" t="s">
        <v>122</v>
      </c>
      <c r="C1133" s="1" t="s">
        <v>415</v>
      </c>
      <c r="D1133" s="23" t="s">
        <v>323</v>
      </c>
      <c r="E1133" s="1" t="s">
        <v>206</v>
      </c>
      <c r="F1133" s="2" t="s">
        <v>120</v>
      </c>
      <c r="G1133" s="21" t="n">
        <f aca="false">K1133/3.1416</f>
        <v>26.4196587726</v>
      </c>
      <c r="H1133" s="1" t="n">
        <v>20</v>
      </c>
      <c r="I1133" s="2" t="s">
        <v>74</v>
      </c>
      <c r="J1133" s="1" t="s">
        <v>74</v>
      </c>
      <c r="K1133" s="1" t="n">
        <v>83</v>
      </c>
    </row>
    <row r="1134" customFormat="false" ht="14.25" hidden="true" customHeight="false" outlineLevel="0" collapsed="false">
      <c r="A1134" s="1" t="n">
        <v>6</v>
      </c>
      <c r="B1134" s="1" t="s">
        <v>122</v>
      </c>
      <c r="C1134" s="1" t="s">
        <v>415</v>
      </c>
      <c r="D1134" s="23" t="s">
        <v>323</v>
      </c>
      <c r="E1134" s="1" t="s">
        <v>206</v>
      </c>
      <c r="F1134" s="2" t="s">
        <v>324</v>
      </c>
      <c r="G1134" s="21" t="n">
        <f aca="false">K1134/3.1416</f>
        <v>35.0140056022409</v>
      </c>
      <c r="H1134" s="1" t="n">
        <v>20</v>
      </c>
      <c r="I1134" s="2" t="s">
        <v>234</v>
      </c>
      <c r="J1134" s="1" t="s">
        <v>184</v>
      </c>
      <c r="K1134" s="1" t="n">
        <v>110</v>
      </c>
    </row>
    <row r="1135" customFormat="false" ht="14.25" hidden="true" customHeight="false" outlineLevel="0" collapsed="false">
      <c r="A1135" s="1" t="n">
        <v>7</v>
      </c>
      <c r="B1135" s="1" t="s">
        <v>122</v>
      </c>
      <c r="C1135" s="1" t="s">
        <v>415</v>
      </c>
      <c r="D1135" s="23" t="s">
        <v>323</v>
      </c>
      <c r="E1135" s="1" t="s">
        <v>206</v>
      </c>
      <c r="F1135" s="2" t="s">
        <v>324</v>
      </c>
      <c r="G1135" s="21" t="n">
        <f aca="false">K1135/3.1416</f>
        <v>2.22816399286988</v>
      </c>
      <c r="H1135" s="1" t="n">
        <v>3.5</v>
      </c>
      <c r="I1135" s="2" t="s">
        <v>74</v>
      </c>
      <c r="J1135" s="1" t="s">
        <v>74</v>
      </c>
      <c r="K1135" s="1" t="n">
        <v>7</v>
      </c>
    </row>
    <row r="1136" customFormat="false" ht="14.25" hidden="true" customHeight="false" outlineLevel="0" collapsed="false">
      <c r="A1136" s="1" t="n">
        <v>9</v>
      </c>
      <c r="B1136" s="1" t="s">
        <v>122</v>
      </c>
      <c r="C1136" s="1" t="s">
        <v>415</v>
      </c>
      <c r="D1136" s="23" t="s">
        <v>319</v>
      </c>
      <c r="E1136" s="1" t="s">
        <v>206</v>
      </c>
      <c r="F1136" s="2" t="s">
        <v>120</v>
      </c>
      <c r="G1136" s="21" t="n">
        <f aca="false">K1136/3.1416</f>
        <v>24.8281130634072</v>
      </c>
      <c r="H1136" s="1" t="n">
        <v>25</v>
      </c>
      <c r="I1136" s="2" t="s">
        <v>129</v>
      </c>
      <c r="J1136" s="1" t="s">
        <v>74</v>
      </c>
      <c r="K1136" s="1" t="n">
        <v>78</v>
      </c>
    </row>
    <row r="1137" customFormat="false" ht="14.25" hidden="true" customHeight="false" outlineLevel="0" collapsed="false">
      <c r="A1137" s="1" t="n">
        <v>9</v>
      </c>
      <c r="B1137" s="1" t="s">
        <v>122</v>
      </c>
      <c r="C1137" s="1" t="s">
        <v>415</v>
      </c>
      <c r="D1137" s="23" t="s">
        <v>319</v>
      </c>
      <c r="E1137" s="1" t="s">
        <v>206</v>
      </c>
      <c r="F1137" s="2" t="s">
        <v>120</v>
      </c>
      <c r="G1137" s="21" t="n">
        <f aca="false">K1137/3.1416</f>
        <v>38.1970970206264</v>
      </c>
      <c r="H1137" s="1" t="n">
        <v>3</v>
      </c>
      <c r="I1137" s="2" t="s">
        <v>129</v>
      </c>
      <c r="J1137" s="1" t="s">
        <v>74</v>
      </c>
      <c r="K1137" s="1" t="n">
        <v>120</v>
      </c>
    </row>
    <row r="1138" customFormat="false" ht="14.25" hidden="true" customHeight="false" outlineLevel="0" collapsed="false">
      <c r="A1138" s="1" t="n">
        <v>11</v>
      </c>
      <c r="B1138" s="1" t="s">
        <v>82</v>
      </c>
      <c r="C1138" s="1" t="s">
        <v>415</v>
      </c>
      <c r="D1138" s="23" t="s">
        <v>323</v>
      </c>
      <c r="E1138" s="1" t="s">
        <v>206</v>
      </c>
      <c r="F1138" s="1" t="s">
        <v>324</v>
      </c>
      <c r="G1138" s="21" t="n">
        <f aca="false">K1138/3.1416</f>
        <v>15.9154570919277</v>
      </c>
      <c r="H1138" s="1" t="n">
        <v>5</v>
      </c>
      <c r="I1138" s="1" t="s">
        <v>129</v>
      </c>
      <c r="J1138" s="1" t="s">
        <v>74</v>
      </c>
      <c r="K1138" s="1" t="n">
        <v>50</v>
      </c>
    </row>
    <row r="1139" customFormat="false" ht="14.25" hidden="true" customHeight="false" outlineLevel="0" collapsed="false">
      <c r="A1139" s="1" t="n">
        <v>12</v>
      </c>
      <c r="B1139" s="1" t="s">
        <v>128</v>
      </c>
      <c r="C1139" s="1" t="s">
        <v>415</v>
      </c>
      <c r="D1139" s="23" t="s">
        <v>323</v>
      </c>
      <c r="E1139" s="1" t="s">
        <v>206</v>
      </c>
      <c r="F1139" s="1" t="s">
        <v>324</v>
      </c>
      <c r="G1139" s="21" t="n">
        <f aca="false">K1139/3.1416</f>
        <v>3.18309141838554</v>
      </c>
      <c r="H1139" s="1" t="n">
        <v>4</v>
      </c>
      <c r="I1139" s="1" t="s">
        <v>129</v>
      </c>
      <c r="J1139" s="1" t="s">
        <v>74</v>
      </c>
      <c r="K1139" s="1" t="n">
        <v>10</v>
      </c>
    </row>
    <row r="1140" customFormat="false" ht="14.25" hidden="true" customHeight="false" outlineLevel="0" collapsed="false">
      <c r="A1140" s="1" t="n">
        <v>13</v>
      </c>
      <c r="B1140" s="1" t="s">
        <v>128</v>
      </c>
      <c r="C1140" s="1" t="s">
        <v>415</v>
      </c>
      <c r="D1140" s="23" t="s">
        <v>323</v>
      </c>
      <c r="E1140" s="1" t="s">
        <v>206</v>
      </c>
      <c r="F1140" s="1" t="s">
        <v>324</v>
      </c>
      <c r="G1140" s="21" t="n">
        <f aca="false">2*K1140/3.1416</f>
        <v>50.9294626941686</v>
      </c>
      <c r="H1140" s="1" t="n">
        <v>15</v>
      </c>
      <c r="I1140" s="1" t="s">
        <v>129</v>
      </c>
      <c r="J1140" s="1" t="s">
        <v>74</v>
      </c>
      <c r="K1140" s="1" t="n">
        <v>80</v>
      </c>
    </row>
    <row r="1141" customFormat="false" ht="14.25" hidden="true" customHeight="false" outlineLevel="0" collapsed="false">
      <c r="A1141" s="1" t="n">
        <v>13</v>
      </c>
      <c r="B1141" s="1" t="s">
        <v>128</v>
      </c>
      <c r="C1141" s="1" t="s">
        <v>415</v>
      </c>
      <c r="D1141" s="23" t="s">
        <v>323</v>
      </c>
      <c r="E1141" s="1" t="s">
        <v>206</v>
      </c>
      <c r="F1141" s="1" t="s">
        <v>324</v>
      </c>
      <c r="G1141" s="21" t="n">
        <f aca="false">2*K1141/3.1416</f>
        <v>45.1998981410746</v>
      </c>
      <c r="H1141" s="1" t="n">
        <v>8</v>
      </c>
      <c r="I1141" s="1" t="s">
        <v>129</v>
      </c>
      <c r="J1141" s="1" t="s">
        <v>74</v>
      </c>
      <c r="K1141" s="1" t="n">
        <v>71</v>
      </c>
    </row>
    <row r="1142" customFormat="false" ht="14.25" hidden="true" customHeight="false" outlineLevel="0" collapsed="false">
      <c r="A1142" s="1" t="n">
        <v>15</v>
      </c>
      <c r="B1142" s="1" t="s">
        <v>131</v>
      </c>
      <c r="C1142" s="1" t="s">
        <v>415</v>
      </c>
      <c r="D1142" s="23" t="s">
        <v>319</v>
      </c>
      <c r="E1142" s="1" t="s">
        <v>206</v>
      </c>
      <c r="F1142" s="1" t="s">
        <v>120</v>
      </c>
      <c r="G1142" s="21" t="n">
        <f aca="false">K1142/3.1416</f>
        <v>23.8731856378915</v>
      </c>
      <c r="H1142" s="1" t="n">
        <v>20</v>
      </c>
      <c r="I1142" s="1" t="s">
        <v>129</v>
      </c>
      <c r="K1142" s="1" t="n">
        <v>75</v>
      </c>
    </row>
    <row r="1143" customFormat="false" ht="14.25" hidden="true" customHeight="false" outlineLevel="0" collapsed="false">
      <c r="A1143" s="1" t="n">
        <v>16</v>
      </c>
      <c r="B1143" s="1" t="s">
        <v>131</v>
      </c>
      <c r="C1143" s="1" t="s">
        <v>415</v>
      </c>
      <c r="D1143" s="23" t="s">
        <v>323</v>
      </c>
      <c r="E1143" s="1" t="s">
        <v>206</v>
      </c>
      <c r="F1143" s="1" t="s">
        <v>324</v>
      </c>
      <c r="G1143" s="21" t="n">
        <f aca="false">K1143/3.1416</f>
        <v>29.2844410491469</v>
      </c>
      <c r="H1143" s="1" t="n">
        <v>10</v>
      </c>
      <c r="I1143" s="1" t="s">
        <v>129</v>
      </c>
      <c r="J1143" s="1" t="s">
        <v>74</v>
      </c>
      <c r="K1143" s="1" t="n">
        <v>92</v>
      </c>
    </row>
    <row r="1144" customFormat="false" ht="14.25" hidden="true" customHeight="false" outlineLevel="0" collapsed="false">
      <c r="A1144" s="1" t="n">
        <v>16</v>
      </c>
      <c r="B1144" s="1" t="s">
        <v>131</v>
      </c>
      <c r="C1144" s="1" t="s">
        <v>415</v>
      </c>
      <c r="D1144" s="23" t="s">
        <v>323</v>
      </c>
      <c r="E1144" s="1" t="s">
        <v>206</v>
      </c>
      <c r="F1144" s="1" t="s">
        <v>324</v>
      </c>
      <c r="G1144" s="21" t="n">
        <f aca="false">K1144/3.1416</f>
        <v>20.3717850776674</v>
      </c>
      <c r="H1144" s="1" t="n">
        <v>10</v>
      </c>
      <c r="I1144" s="1" t="s">
        <v>129</v>
      </c>
      <c r="J1144" s="1" t="s">
        <v>74</v>
      </c>
      <c r="K1144" s="1" t="n">
        <v>64</v>
      </c>
    </row>
    <row r="1145" customFormat="false" ht="14.25" hidden="true" customHeight="false" outlineLevel="0" collapsed="false">
      <c r="A1145" s="1" t="n">
        <v>16</v>
      </c>
      <c r="B1145" s="1" t="s">
        <v>131</v>
      </c>
      <c r="C1145" s="1" t="s">
        <v>415</v>
      </c>
      <c r="D1145" s="23" t="s">
        <v>319</v>
      </c>
      <c r="E1145" s="1" t="s">
        <v>206</v>
      </c>
      <c r="F1145" s="1" t="s">
        <v>120</v>
      </c>
      <c r="G1145" s="21" t="n">
        <f aca="false">K1145/3.1416</f>
        <v>14.960529666412</v>
      </c>
      <c r="H1145" s="1" t="n">
        <v>7</v>
      </c>
      <c r="I1145" s="1" t="s">
        <v>129</v>
      </c>
      <c r="J1145" s="1" t="s">
        <v>74</v>
      </c>
      <c r="K1145" s="1" t="n">
        <v>47</v>
      </c>
    </row>
    <row r="1146" customFormat="false" ht="14.25" hidden="true" customHeight="false" outlineLevel="0" collapsed="false">
      <c r="A1146" s="1" t="n">
        <v>16</v>
      </c>
      <c r="B1146" s="1" t="s">
        <v>131</v>
      </c>
      <c r="C1146" s="1" t="s">
        <v>415</v>
      </c>
      <c r="D1146" s="23" t="s">
        <v>319</v>
      </c>
      <c r="E1146" s="1" t="s">
        <v>206</v>
      </c>
      <c r="F1146" s="1" t="s">
        <v>120</v>
      </c>
      <c r="G1146" s="21" t="n">
        <f aca="false">K1146/3.1416</f>
        <v>32.4675324675325</v>
      </c>
      <c r="H1146" s="1" t="n">
        <v>20</v>
      </c>
      <c r="I1146" s="1" t="s">
        <v>129</v>
      </c>
      <c r="J1146" s="1" t="s">
        <v>74</v>
      </c>
      <c r="K1146" s="1" t="n">
        <v>102</v>
      </c>
    </row>
    <row r="1147" customFormat="false" ht="14.25" hidden="true" customHeight="false" outlineLevel="0" collapsed="false">
      <c r="A1147" s="1" t="n">
        <v>17</v>
      </c>
      <c r="B1147" s="1" t="s">
        <v>128</v>
      </c>
      <c r="C1147" s="1" t="s">
        <v>415</v>
      </c>
      <c r="D1147" s="23" t="s">
        <v>323</v>
      </c>
      <c r="E1147" s="1" t="s">
        <v>206</v>
      </c>
      <c r="F1147" s="1" t="s">
        <v>324</v>
      </c>
      <c r="G1147" s="21" t="n">
        <f aca="false">K1147/3.1416</f>
        <v>9.86758339699516</v>
      </c>
      <c r="H1147" s="1" t="n">
        <v>4</v>
      </c>
      <c r="I1147" s="1" t="s">
        <v>129</v>
      </c>
      <c r="J1147" s="1" t="s">
        <v>74</v>
      </c>
      <c r="K1147" s="1" t="n">
        <v>31</v>
      </c>
    </row>
    <row r="1148" customFormat="false" ht="14.25" hidden="true" customHeight="false" outlineLevel="0" collapsed="false">
      <c r="A1148" s="1" t="n">
        <v>17</v>
      </c>
      <c r="B1148" s="1" t="s">
        <v>128</v>
      </c>
      <c r="C1148" s="1" t="s">
        <v>415</v>
      </c>
      <c r="D1148" s="23" t="s">
        <v>323</v>
      </c>
      <c r="E1148" s="1" t="s">
        <v>206</v>
      </c>
      <c r="F1148" s="1" t="s">
        <v>324</v>
      </c>
      <c r="G1148" s="21" t="n">
        <f aca="false">K1148/3.1416</f>
        <v>43.9266615737204</v>
      </c>
      <c r="H1148" s="1" t="n">
        <v>30</v>
      </c>
      <c r="I1148" s="1" t="s">
        <v>129</v>
      </c>
      <c r="J1148" s="1" t="s">
        <v>74</v>
      </c>
      <c r="K1148" s="1" t="n">
        <v>138</v>
      </c>
    </row>
    <row r="1149" customFormat="false" ht="14.25" hidden="true" customHeight="false" outlineLevel="0" collapsed="false">
      <c r="A1149" s="1" t="n">
        <v>17</v>
      </c>
      <c r="B1149" s="1" t="s">
        <v>128</v>
      </c>
      <c r="C1149" s="1" t="s">
        <v>415</v>
      </c>
      <c r="D1149" s="23" t="s">
        <v>323</v>
      </c>
      <c r="E1149" s="1" t="s">
        <v>206</v>
      </c>
      <c r="F1149" s="1" t="s">
        <v>324</v>
      </c>
      <c r="G1149" s="21" t="n">
        <f aca="false">K1149/3.1416</f>
        <v>17.5070028011205</v>
      </c>
      <c r="H1149" s="1" t="n">
        <v>27</v>
      </c>
      <c r="I1149" s="1" t="s">
        <v>129</v>
      </c>
      <c r="J1149" s="1" t="s">
        <v>74</v>
      </c>
      <c r="K1149" s="1" t="n">
        <v>55</v>
      </c>
    </row>
    <row r="1150" customFormat="false" ht="14.25" hidden="true" customHeight="false" outlineLevel="0" collapsed="false">
      <c r="A1150" s="1" t="n">
        <v>17</v>
      </c>
      <c r="B1150" s="1" t="s">
        <v>128</v>
      </c>
      <c r="C1150" s="1" t="s">
        <v>415</v>
      </c>
      <c r="D1150" s="23" t="s">
        <v>323</v>
      </c>
      <c r="E1150" s="1" t="s">
        <v>206</v>
      </c>
      <c r="F1150" s="1" t="s">
        <v>324</v>
      </c>
      <c r="G1150" s="21" t="n">
        <f aca="false">K1150/3.1416</f>
        <v>15.9154570919277</v>
      </c>
      <c r="H1150" s="1" t="n">
        <v>4</v>
      </c>
      <c r="I1150" s="1" t="s">
        <v>129</v>
      </c>
      <c r="J1150" s="1" t="s">
        <v>74</v>
      </c>
      <c r="K1150" s="1" t="n">
        <v>50</v>
      </c>
    </row>
    <row r="1151" customFormat="false" ht="14.25" hidden="true" customHeight="false" outlineLevel="0" collapsed="false">
      <c r="A1151" s="1" t="n">
        <v>17</v>
      </c>
      <c r="B1151" s="1" t="s">
        <v>128</v>
      </c>
      <c r="C1151" s="1" t="s">
        <v>415</v>
      </c>
      <c r="D1151" s="23" t="s">
        <v>323</v>
      </c>
      <c r="E1151" s="1" t="s">
        <v>206</v>
      </c>
      <c r="F1151" s="1" t="s">
        <v>324</v>
      </c>
      <c r="G1151" s="21" t="n">
        <f aca="false">K1151/3.1416</f>
        <v>24.5098039215686</v>
      </c>
      <c r="H1151" s="1" t="n">
        <v>25</v>
      </c>
      <c r="I1151" s="1" t="s">
        <v>129</v>
      </c>
      <c r="J1151" s="1" t="s">
        <v>74</v>
      </c>
      <c r="K1151" s="1" t="n">
        <v>77</v>
      </c>
    </row>
    <row r="1152" customFormat="false" ht="14.25" hidden="true" customHeight="false" outlineLevel="0" collapsed="false">
      <c r="A1152" s="1" t="n">
        <v>18</v>
      </c>
      <c r="B1152" s="1" t="s">
        <v>128</v>
      </c>
      <c r="C1152" s="1" t="s">
        <v>415</v>
      </c>
      <c r="D1152" s="23" t="s">
        <v>323</v>
      </c>
      <c r="E1152" s="1" t="s">
        <v>206</v>
      </c>
      <c r="F1152" s="1" t="s">
        <v>324</v>
      </c>
      <c r="G1152" s="21" t="n">
        <f aca="false">K1152/3.1416</f>
        <v>30.8759867583397</v>
      </c>
      <c r="H1152" s="1" t="n">
        <v>20</v>
      </c>
      <c r="I1152" s="1" t="s">
        <v>129</v>
      </c>
      <c r="J1152" s="1" t="s">
        <v>74</v>
      </c>
      <c r="K1152" s="1" t="n">
        <v>97</v>
      </c>
    </row>
    <row r="1153" customFormat="false" ht="14.25" hidden="true" customHeight="false" outlineLevel="0" collapsed="false">
      <c r="A1153" s="1" t="n">
        <v>18</v>
      </c>
      <c r="B1153" s="1" t="s">
        <v>128</v>
      </c>
      <c r="C1153" s="1" t="s">
        <v>415</v>
      </c>
      <c r="D1153" s="23" t="s">
        <v>319</v>
      </c>
      <c r="E1153" s="1" t="s">
        <v>206</v>
      </c>
      <c r="F1153" s="1" t="s">
        <v>120</v>
      </c>
      <c r="G1153" s="21" t="n">
        <f aca="false">K1153/3.1416</f>
        <v>33.7407690348867</v>
      </c>
      <c r="H1153" s="1" t="n">
        <v>17</v>
      </c>
      <c r="I1153" s="1" t="s">
        <v>129</v>
      </c>
      <c r="J1153" s="1" t="s">
        <v>74</v>
      </c>
      <c r="K1153" s="1" t="n">
        <v>106</v>
      </c>
    </row>
    <row r="1154" customFormat="false" ht="14.25" hidden="true" customHeight="false" outlineLevel="0" collapsed="false">
      <c r="A1154" s="1" t="n">
        <v>19</v>
      </c>
      <c r="B1154" s="1" t="s">
        <v>128</v>
      </c>
      <c r="C1154" s="1" t="s">
        <v>415</v>
      </c>
      <c r="D1154" s="23" t="s">
        <v>323</v>
      </c>
      <c r="E1154" s="1" t="s">
        <v>206</v>
      </c>
      <c r="F1154" s="1" t="s">
        <v>324</v>
      </c>
      <c r="G1154" s="21" t="n">
        <f aca="false">K1154/3.1416</f>
        <v>32.785841609371</v>
      </c>
      <c r="H1154" s="1" t="n">
        <v>15</v>
      </c>
      <c r="I1154" s="1" t="s">
        <v>129</v>
      </c>
      <c r="J1154" s="1" t="s">
        <v>74</v>
      </c>
      <c r="K1154" s="1" t="n">
        <v>103</v>
      </c>
    </row>
    <row r="1155" customFormat="false" ht="14.25" hidden="true" customHeight="false" outlineLevel="0" collapsed="false">
      <c r="A1155" s="1" t="n">
        <v>19</v>
      </c>
      <c r="B1155" s="1" t="s">
        <v>128</v>
      </c>
      <c r="C1155" s="1" t="s">
        <v>415</v>
      </c>
      <c r="D1155" s="23" t="s">
        <v>319</v>
      </c>
      <c r="E1155" s="1" t="s">
        <v>206</v>
      </c>
      <c r="F1155" s="1" t="s">
        <v>120</v>
      </c>
      <c r="G1155" s="21" t="n">
        <f aca="false">K1155/3.1416</f>
        <v>15.2788388082506</v>
      </c>
      <c r="H1155" s="1" t="n">
        <v>12</v>
      </c>
      <c r="I1155" s="1" t="s">
        <v>129</v>
      </c>
      <c r="J1155" s="1" t="s">
        <v>74</v>
      </c>
      <c r="K1155" s="1" t="n">
        <v>48</v>
      </c>
    </row>
    <row r="1156" customFormat="false" ht="14.25" hidden="true" customHeight="false" outlineLevel="0" collapsed="false">
      <c r="A1156" s="1" t="n">
        <v>20</v>
      </c>
      <c r="B1156" s="1" t="s">
        <v>128</v>
      </c>
      <c r="C1156" s="1" t="s">
        <v>415</v>
      </c>
      <c r="D1156" s="23" t="s">
        <v>323</v>
      </c>
      <c r="E1156" s="1" t="s">
        <v>206</v>
      </c>
      <c r="F1156" s="1" t="s">
        <v>324</v>
      </c>
      <c r="G1156" s="21" t="n">
        <f aca="false">K1156/3.1416</f>
        <v>28.6478227654698</v>
      </c>
      <c r="H1156" s="1" t="n">
        <v>15</v>
      </c>
      <c r="I1156" s="1" t="s">
        <v>129</v>
      </c>
      <c r="J1156" s="1" t="s">
        <v>74</v>
      </c>
      <c r="K1156" s="1" t="n">
        <v>90</v>
      </c>
    </row>
    <row r="1157" customFormat="false" ht="14.25" hidden="true" customHeight="false" outlineLevel="0" collapsed="false">
      <c r="A1157" s="1" t="n">
        <v>21</v>
      </c>
      <c r="B1157" s="1" t="s">
        <v>135</v>
      </c>
      <c r="C1157" s="1" t="s">
        <v>415</v>
      </c>
      <c r="D1157" s="23" t="s">
        <v>319</v>
      </c>
      <c r="E1157" s="1" t="s">
        <v>206</v>
      </c>
      <c r="F1157" s="1" t="s">
        <v>120</v>
      </c>
      <c r="G1157" s="21" t="n">
        <f aca="false">K1157/3.1416</f>
        <v>3.18309141838554</v>
      </c>
      <c r="H1157" s="1" t="n">
        <v>3</v>
      </c>
      <c r="I1157" s="1" t="s">
        <v>129</v>
      </c>
      <c r="J1157" s="1" t="s">
        <v>74</v>
      </c>
      <c r="K1157" s="1" t="n">
        <v>10</v>
      </c>
    </row>
    <row r="1158" customFormat="false" ht="14.25" hidden="true" customHeight="false" outlineLevel="0" collapsed="false">
      <c r="A1158" s="1" t="n">
        <v>21</v>
      </c>
      <c r="B1158" s="1" t="s">
        <v>135</v>
      </c>
      <c r="C1158" s="1" t="s">
        <v>415</v>
      </c>
      <c r="D1158" s="23" t="s">
        <v>323</v>
      </c>
      <c r="E1158" s="1" t="s">
        <v>206</v>
      </c>
      <c r="F1158" s="1" t="s">
        <v>120</v>
      </c>
      <c r="G1158" s="21" t="n">
        <f aca="false">K1158/3.1416</f>
        <v>6.36618283677107</v>
      </c>
      <c r="H1158" s="1" t="n">
        <v>5</v>
      </c>
      <c r="I1158" s="1" t="s">
        <v>129</v>
      </c>
      <c r="J1158" s="1" t="s">
        <v>74</v>
      </c>
      <c r="K1158" s="1" t="n">
        <v>20</v>
      </c>
    </row>
    <row r="1159" customFormat="false" ht="14.25" hidden="true" customHeight="false" outlineLevel="0" collapsed="false">
      <c r="A1159" s="1" t="n">
        <v>21</v>
      </c>
      <c r="B1159" s="1" t="s">
        <v>135</v>
      </c>
      <c r="C1159" s="1" t="s">
        <v>415</v>
      </c>
      <c r="D1159" s="23" t="s">
        <v>319</v>
      </c>
      <c r="E1159" s="1" t="s">
        <v>206</v>
      </c>
      <c r="F1159" s="1" t="s">
        <v>120</v>
      </c>
      <c r="G1159" s="21" t="n">
        <f aca="false">K1159/3.1416</f>
        <v>6.36618283677107</v>
      </c>
      <c r="H1159" s="1" t="n">
        <v>5</v>
      </c>
      <c r="I1159" s="1" t="s">
        <v>129</v>
      </c>
      <c r="J1159" s="1" t="s">
        <v>74</v>
      </c>
      <c r="K1159" s="1" t="n">
        <v>20</v>
      </c>
    </row>
    <row r="1160" customFormat="false" ht="14.25" hidden="true" customHeight="false" outlineLevel="0" collapsed="false">
      <c r="A1160" s="1" t="n">
        <v>22</v>
      </c>
      <c r="B1160" s="1" t="s">
        <v>135</v>
      </c>
      <c r="C1160" s="1" t="s">
        <v>415</v>
      </c>
      <c r="D1160" s="23" t="s">
        <v>319</v>
      </c>
      <c r="E1160" s="1" t="s">
        <v>206</v>
      </c>
      <c r="F1160" s="1" t="s">
        <v>138</v>
      </c>
      <c r="G1160" s="21" t="n">
        <f aca="false">K1160/3.1416</f>
        <v>6.36618283677107</v>
      </c>
      <c r="H1160" s="1" t="n">
        <v>5</v>
      </c>
      <c r="I1160" s="1" t="s">
        <v>129</v>
      </c>
      <c r="J1160" s="1" t="s">
        <v>74</v>
      </c>
      <c r="K1160" s="1" t="n">
        <v>20</v>
      </c>
    </row>
    <row r="1161" customFormat="false" ht="14.25" hidden="true" customHeight="false" outlineLevel="0" collapsed="false">
      <c r="A1161" s="1" t="n">
        <v>24</v>
      </c>
      <c r="B1161" s="1" t="s">
        <v>135</v>
      </c>
      <c r="C1161" s="1" t="s">
        <v>415</v>
      </c>
      <c r="D1161" s="23" t="s">
        <v>319</v>
      </c>
      <c r="E1161" s="1" t="s">
        <v>206</v>
      </c>
      <c r="F1161" s="1" t="s">
        <v>120</v>
      </c>
      <c r="G1161" s="21" t="n">
        <f aca="false">K1161/3.1416</f>
        <v>22.2816399286988</v>
      </c>
      <c r="H1161" s="1" t="n">
        <v>20</v>
      </c>
      <c r="I1161" s="1" t="s">
        <v>234</v>
      </c>
      <c r="J1161" s="1" t="s">
        <v>74</v>
      </c>
      <c r="K1161" s="1" t="n">
        <v>70</v>
      </c>
    </row>
    <row r="1162" customFormat="false" ht="14.25" hidden="true" customHeight="false" outlineLevel="0" collapsed="false">
      <c r="A1162" s="1" t="n">
        <v>24</v>
      </c>
      <c r="B1162" s="1" t="s">
        <v>135</v>
      </c>
      <c r="C1162" s="1" t="s">
        <v>415</v>
      </c>
      <c r="D1162" s="23" t="s">
        <v>319</v>
      </c>
      <c r="E1162" s="1" t="s">
        <v>206</v>
      </c>
      <c r="F1162" s="1" t="s">
        <v>120</v>
      </c>
      <c r="G1162" s="21" t="n">
        <f aca="false">K1162/3.1416</f>
        <v>23.8731856378915</v>
      </c>
      <c r="H1162" s="1" t="n">
        <v>7</v>
      </c>
      <c r="I1162" s="1" t="s">
        <v>129</v>
      </c>
      <c r="J1162" s="1" t="s">
        <v>74</v>
      </c>
      <c r="K1162" s="1" t="n">
        <v>75</v>
      </c>
    </row>
    <row r="1163" customFormat="false" ht="14.25" hidden="true" customHeight="false" outlineLevel="0" collapsed="false">
      <c r="A1163" s="1" t="n">
        <v>24</v>
      </c>
      <c r="B1163" s="1" t="s">
        <v>135</v>
      </c>
      <c r="C1163" s="1" t="s">
        <v>415</v>
      </c>
      <c r="D1163" s="23" t="s">
        <v>319</v>
      </c>
      <c r="E1163" s="1" t="s">
        <v>206</v>
      </c>
      <c r="F1163" s="1" t="s">
        <v>120</v>
      </c>
      <c r="G1163" s="21" t="n">
        <f aca="false">K1163/3.1416</f>
        <v>27.0562770562771</v>
      </c>
      <c r="H1163" s="1" t="n">
        <v>30</v>
      </c>
      <c r="I1163" s="1" t="s">
        <v>129</v>
      </c>
      <c r="J1163" s="1" t="s">
        <v>74</v>
      </c>
      <c r="K1163" s="1" t="n">
        <v>85</v>
      </c>
    </row>
    <row r="1164" customFormat="false" ht="14.25" hidden="true" customHeight="false" outlineLevel="0" collapsed="false">
      <c r="A1164" s="1" t="n">
        <v>25</v>
      </c>
      <c r="B1164" s="1" t="s">
        <v>135</v>
      </c>
      <c r="C1164" s="1" t="s">
        <v>415</v>
      </c>
      <c r="D1164" s="23" t="s">
        <v>319</v>
      </c>
      <c r="E1164" s="1" t="s">
        <v>206</v>
      </c>
      <c r="F1164" s="1" t="s">
        <v>120</v>
      </c>
      <c r="G1164" s="21" t="n">
        <f aca="false">K1164/3.1416</f>
        <v>28.3295136236313</v>
      </c>
      <c r="H1164" s="1" t="n">
        <v>12</v>
      </c>
      <c r="I1164" s="1" t="s">
        <v>129</v>
      </c>
      <c r="J1164" s="1" t="s">
        <v>74</v>
      </c>
      <c r="K1164" s="1" t="n">
        <v>89</v>
      </c>
    </row>
    <row r="1165" customFormat="false" ht="14.25" hidden="true" customHeight="false" outlineLevel="0" collapsed="false">
      <c r="A1165" s="1" t="n">
        <v>25</v>
      </c>
      <c r="B1165" s="1" t="s">
        <v>135</v>
      </c>
      <c r="C1165" s="1" t="s">
        <v>415</v>
      </c>
      <c r="D1165" s="23" t="s">
        <v>319</v>
      </c>
      <c r="E1165" s="1" t="s">
        <v>206</v>
      </c>
      <c r="F1165" s="1" t="s">
        <v>120</v>
      </c>
      <c r="G1165" s="21" t="n">
        <f aca="false">K1165/3.1416</f>
        <v>27.6928953399542</v>
      </c>
      <c r="H1165" s="1" t="n">
        <v>12</v>
      </c>
      <c r="I1165" s="1" t="s">
        <v>129</v>
      </c>
      <c r="J1165" s="1" t="s">
        <v>74</v>
      </c>
      <c r="K1165" s="1" t="n">
        <v>87</v>
      </c>
    </row>
    <row r="1166" customFormat="false" ht="14.25" hidden="true" customHeight="false" outlineLevel="0" collapsed="false">
      <c r="A1166" s="1" t="n">
        <v>26</v>
      </c>
      <c r="B1166" s="1" t="s">
        <v>135</v>
      </c>
      <c r="C1166" s="1" t="s">
        <v>415</v>
      </c>
      <c r="D1166" s="23" t="s">
        <v>319</v>
      </c>
      <c r="E1166" s="1" t="s">
        <v>206</v>
      </c>
      <c r="F1166" s="1" t="s">
        <v>120</v>
      </c>
      <c r="G1166" s="21" t="n">
        <f aca="false">K1166/3.1416</f>
        <v>29.6027501909855</v>
      </c>
      <c r="H1166" s="1" t="n">
        <v>12</v>
      </c>
      <c r="I1166" s="1" t="s">
        <v>129</v>
      </c>
      <c r="J1166" s="1" t="s">
        <v>74</v>
      </c>
      <c r="K1166" s="1" t="n">
        <v>93</v>
      </c>
    </row>
    <row r="1167" customFormat="false" ht="14.25" hidden="true" customHeight="false" outlineLevel="0" collapsed="false">
      <c r="A1167" s="1" t="n">
        <v>28</v>
      </c>
      <c r="B1167" s="1" t="s">
        <v>82</v>
      </c>
      <c r="C1167" s="1" t="s">
        <v>415</v>
      </c>
      <c r="D1167" s="23" t="s">
        <v>319</v>
      </c>
      <c r="E1167" s="1" t="s">
        <v>206</v>
      </c>
      <c r="F1167" s="1" t="s">
        <v>120</v>
      </c>
      <c r="G1167" s="21" t="n">
        <f aca="false">K1167/3.1416</f>
        <v>9.54927425515661</v>
      </c>
      <c r="H1167" s="1" t="n">
        <v>5</v>
      </c>
      <c r="I1167" s="1" t="s">
        <v>129</v>
      </c>
      <c r="J1167" s="1" t="s">
        <v>74</v>
      </c>
      <c r="K1167" s="1" t="n">
        <v>30</v>
      </c>
    </row>
    <row r="1168" customFormat="false" ht="14.25" hidden="true" customHeight="false" outlineLevel="0" collapsed="false">
      <c r="A1168" s="1" t="n">
        <v>28</v>
      </c>
      <c r="B1168" s="1" t="s">
        <v>82</v>
      </c>
      <c r="C1168" s="1" t="s">
        <v>415</v>
      </c>
      <c r="D1168" s="23" t="s">
        <v>416</v>
      </c>
      <c r="E1168" s="1" t="s">
        <v>206</v>
      </c>
      <c r="F1168" s="1" t="s">
        <v>197</v>
      </c>
      <c r="G1168" s="21" t="n">
        <f aca="false">K1168/3.1416</f>
        <v>19.4168576521518</v>
      </c>
      <c r="H1168" s="1" t="n">
        <v>10</v>
      </c>
      <c r="I1168" s="1" t="s">
        <v>129</v>
      </c>
      <c r="J1168" s="1" t="s">
        <v>74</v>
      </c>
      <c r="K1168" s="1" t="n">
        <v>61</v>
      </c>
    </row>
    <row r="1169" customFormat="false" ht="14.25" hidden="true" customHeight="false" outlineLevel="0" collapsed="false">
      <c r="A1169" s="1" t="n">
        <v>28</v>
      </c>
      <c r="B1169" s="1" t="s">
        <v>82</v>
      </c>
      <c r="C1169" s="1" t="s">
        <v>415</v>
      </c>
      <c r="D1169" s="23" t="s">
        <v>319</v>
      </c>
      <c r="E1169" s="1" t="s">
        <v>206</v>
      </c>
      <c r="F1169" s="1" t="s">
        <v>120</v>
      </c>
      <c r="G1169" s="21" t="n">
        <f aca="false">K1169/3.1416</f>
        <v>6.36618283677107</v>
      </c>
      <c r="H1169" s="1" t="n">
        <v>5</v>
      </c>
      <c r="I1169" s="1" t="s">
        <v>129</v>
      </c>
      <c r="J1169" s="1" t="s">
        <v>74</v>
      </c>
      <c r="K1169" s="1" t="n">
        <v>20</v>
      </c>
    </row>
    <row r="1170" customFormat="false" ht="14.25" hidden="true" customHeight="false" outlineLevel="0" collapsed="false">
      <c r="A1170" s="1" t="n">
        <v>28</v>
      </c>
      <c r="B1170" s="1" t="s">
        <v>82</v>
      </c>
      <c r="C1170" s="1" t="s">
        <v>415</v>
      </c>
      <c r="D1170" s="23" t="s">
        <v>323</v>
      </c>
      <c r="E1170" s="1" t="s">
        <v>206</v>
      </c>
      <c r="F1170" s="1" t="s">
        <v>324</v>
      </c>
      <c r="G1170" s="21" t="n">
        <f aca="false">K1170/3.1416</f>
        <v>6.36618283677107</v>
      </c>
      <c r="H1170" s="1" t="n">
        <v>5</v>
      </c>
      <c r="I1170" s="1" t="s">
        <v>129</v>
      </c>
      <c r="J1170" s="1" t="s">
        <v>74</v>
      </c>
      <c r="K1170" s="1" t="n">
        <v>20</v>
      </c>
    </row>
    <row r="1171" customFormat="false" ht="14.25" hidden="true" customHeight="false" outlineLevel="0" collapsed="false">
      <c r="A1171" s="1" t="n">
        <v>29</v>
      </c>
      <c r="B1171" s="1" t="s">
        <v>131</v>
      </c>
      <c r="C1171" s="1" t="s">
        <v>415</v>
      </c>
      <c r="D1171" s="23" t="s">
        <v>323</v>
      </c>
      <c r="E1171" s="1" t="s">
        <v>206</v>
      </c>
      <c r="F1171" s="1" t="s">
        <v>324</v>
      </c>
      <c r="G1171" s="21" t="n">
        <f aca="false">K1171/3.1416</f>
        <v>3.18309141838554</v>
      </c>
      <c r="H1171" s="1" t="n">
        <v>4</v>
      </c>
      <c r="I1171" s="1" t="s">
        <v>129</v>
      </c>
      <c r="J1171" s="1" t="s">
        <v>74</v>
      </c>
      <c r="K1171" s="1" t="n">
        <v>10</v>
      </c>
    </row>
    <row r="1172" customFormat="false" ht="14.25" hidden="true" customHeight="false" outlineLevel="0" collapsed="false">
      <c r="A1172" s="1" t="n">
        <v>29</v>
      </c>
      <c r="B1172" s="1" t="s">
        <v>131</v>
      </c>
      <c r="C1172" s="1" t="s">
        <v>415</v>
      </c>
      <c r="D1172" s="23" t="s">
        <v>319</v>
      </c>
      <c r="E1172" s="1" t="s">
        <v>206</v>
      </c>
      <c r="F1172" s="1" t="s">
        <v>120</v>
      </c>
      <c r="G1172" s="21" t="n">
        <f aca="false">K1172/3.1416</f>
        <v>22.2816399286988</v>
      </c>
      <c r="H1172" s="1" t="n">
        <v>12</v>
      </c>
      <c r="I1172" s="1" t="s">
        <v>129</v>
      </c>
      <c r="J1172" s="1" t="s">
        <v>74</v>
      </c>
      <c r="K1172" s="1" t="n">
        <v>70</v>
      </c>
    </row>
    <row r="1173" customFormat="false" ht="14.25" hidden="true" customHeight="false" outlineLevel="0" collapsed="false">
      <c r="A1173" s="1" t="n">
        <v>29</v>
      </c>
      <c r="B1173" s="1" t="s">
        <v>131</v>
      </c>
      <c r="C1173" s="1" t="s">
        <v>415</v>
      </c>
      <c r="D1173" s="23" t="s">
        <v>417</v>
      </c>
      <c r="E1173" s="1" t="s">
        <v>206</v>
      </c>
      <c r="F1173" s="1" t="s">
        <v>197</v>
      </c>
      <c r="G1173" s="21" t="n">
        <f aca="false">K1173/3.1416</f>
        <v>28.0112044817927</v>
      </c>
      <c r="H1173" s="1" t="n">
        <v>10</v>
      </c>
      <c r="I1173" s="1" t="s">
        <v>129</v>
      </c>
      <c r="J1173" s="1" t="s">
        <v>74</v>
      </c>
      <c r="K1173" s="1" t="n">
        <v>88</v>
      </c>
    </row>
    <row r="1174" customFormat="false" ht="14.25" hidden="true" customHeight="false" outlineLevel="0" collapsed="false">
      <c r="A1174" s="1" t="n">
        <v>29</v>
      </c>
      <c r="B1174" s="1" t="s">
        <v>131</v>
      </c>
      <c r="C1174" s="1" t="s">
        <v>415</v>
      </c>
      <c r="D1174" s="23" t="s">
        <v>323</v>
      </c>
      <c r="E1174" s="1" t="s">
        <v>206</v>
      </c>
      <c r="F1174" s="1" t="s">
        <v>324</v>
      </c>
      <c r="G1174" s="21" t="n">
        <f aca="false">K1174/3.1416</f>
        <v>3.18309141838554</v>
      </c>
      <c r="H1174" s="1" t="n">
        <v>4</v>
      </c>
      <c r="I1174" s="1" t="s">
        <v>129</v>
      </c>
      <c r="J1174" s="1" t="s">
        <v>74</v>
      </c>
      <c r="K1174" s="1" t="n">
        <v>10</v>
      </c>
    </row>
    <row r="1175" customFormat="false" ht="14.25" hidden="true" customHeight="false" outlineLevel="0" collapsed="false">
      <c r="A1175" s="1" t="n">
        <v>29</v>
      </c>
      <c r="B1175" s="1" t="s">
        <v>131</v>
      </c>
      <c r="C1175" s="1" t="s">
        <v>415</v>
      </c>
      <c r="D1175" s="23" t="s">
        <v>323</v>
      </c>
      <c r="E1175" s="1" t="s">
        <v>206</v>
      </c>
      <c r="F1175" s="1" t="s">
        <v>324</v>
      </c>
      <c r="G1175" s="21" t="n">
        <f aca="false">K1175/3.1416</f>
        <v>17.825311942959</v>
      </c>
      <c r="H1175" s="1" t="n">
        <v>15</v>
      </c>
      <c r="I1175" s="1" t="s">
        <v>129</v>
      </c>
      <c r="J1175" s="1" t="s">
        <v>74</v>
      </c>
      <c r="K1175" s="1" t="n">
        <v>56</v>
      </c>
    </row>
    <row r="1176" customFormat="false" ht="14.25" hidden="true" customHeight="false" outlineLevel="0" collapsed="false">
      <c r="A1176" s="1" t="n">
        <v>31</v>
      </c>
      <c r="B1176" s="1" t="s">
        <v>131</v>
      </c>
      <c r="C1176" s="1" t="s">
        <v>415</v>
      </c>
      <c r="D1176" s="23" t="s">
        <v>323</v>
      </c>
      <c r="E1176" s="1" t="s">
        <v>206</v>
      </c>
      <c r="F1176" s="1" t="s">
        <v>324</v>
      </c>
      <c r="G1176" s="21" t="n">
        <f aca="false">K1176/3.1416</f>
        <v>25.7830404889228</v>
      </c>
      <c r="H1176" s="1" t="n">
        <v>15</v>
      </c>
      <c r="I1176" s="1" t="s">
        <v>129</v>
      </c>
      <c r="J1176" s="1" t="s">
        <v>74</v>
      </c>
      <c r="K1176" s="1" t="n">
        <v>81</v>
      </c>
    </row>
    <row r="1177" customFormat="false" ht="14.25" hidden="true" customHeight="false" outlineLevel="0" collapsed="false">
      <c r="A1177" s="1" t="n">
        <v>31</v>
      </c>
      <c r="B1177" s="1" t="s">
        <v>131</v>
      </c>
      <c r="C1177" s="1" t="s">
        <v>415</v>
      </c>
      <c r="D1177" s="23" t="s">
        <v>319</v>
      </c>
      <c r="E1177" s="1" t="s">
        <v>206</v>
      </c>
      <c r="F1177" s="1" t="s">
        <v>120</v>
      </c>
      <c r="G1177" s="21" t="n">
        <f aca="false">K1177/3.1416</f>
        <v>27.6928953399542</v>
      </c>
      <c r="H1177" s="1" t="n">
        <v>12</v>
      </c>
      <c r="I1177" s="1" t="s">
        <v>129</v>
      </c>
      <c r="J1177" s="1" t="s">
        <v>74</v>
      </c>
      <c r="K1177" s="1" t="n">
        <v>87</v>
      </c>
    </row>
    <row r="1178" customFormat="false" ht="14.25" hidden="true" customHeight="false" outlineLevel="0" collapsed="false">
      <c r="A1178" s="1" t="n">
        <v>31</v>
      </c>
      <c r="B1178" s="1" t="s">
        <v>131</v>
      </c>
      <c r="C1178" s="1" t="s">
        <v>415</v>
      </c>
      <c r="D1178" s="23" t="s">
        <v>319</v>
      </c>
      <c r="E1178" s="1" t="s">
        <v>206</v>
      </c>
      <c r="F1178" s="1" t="s">
        <v>120</v>
      </c>
      <c r="G1178" s="21" t="n">
        <f aca="false">K1178/3.1416</f>
        <v>3.18309141838554</v>
      </c>
      <c r="H1178" s="1" t="n">
        <v>4</v>
      </c>
      <c r="I1178" s="1" t="s">
        <v>129</v>
      </c>
      <c r="J1178" s="1" t="s">
        <v>74</v>
      </c>
      <c r="K1178" s="1" t="n">
        <v>10</v>
      </c>
    </row>
    <row r="1179" customFormat="false" ht="14.25" hidden="true" customHeight="false" outlineLevel="0" collapsed="false">
      <c r="A1179" s="1" t="n">
        <v>2</v>
      </c>
      <c r="B1179" s="1" t="s">
        <v>72</v>
      </c>
      <c r="C1179" s="1" t="s">
        <v>415</v>
      </c>
      <c r="D1179" s="23" t="s">
        <v>205</v>
      </c>
      <c r="E1179" s="1" t="s">
        <v>206</v>
      </c>
      <c r="F1179" s="1" t="s">
        <v>138</v>
      </c>
      <c r="G1179" s="21" t="n">
        <f aca="false">ROUND(K1179/PI(),0)</f>
        <v>10</v>
      </c>
      <c r="H1179" s="1" t="n">
        <v>5</v>
      </c>
      <c r="I1179" s="1" t="s">
        <v>129</v>
      </c>
      <c r="J1179" s="1" t="s">
        <v>243</v>
      </c>
      <c r="K1179" s="1" t="n">
        <v>30</v>
      </c>
    </row>
    <row r="1180" customFormat="false" ht="14.25" hidden="true" customHeight="false" outlineLevel="0" collapsed="false">
      <c r="A1180" s="1" t="n">
        <v>3</v>
      </c>
      <c r="B1180" s="1" t="s">
        <v>82</v>
      </c>
      <c r="C1180" s="1" t="s">
        <v>418</v>
      </c>
      <c r="D1180" s="23"/>
      <c r="G1180" s="21" t="n">
        <f aca="false">ROUND(K1180/PI(),0)</f>
        <v>5</v>
      </c>
      <c r="H1180" s="1" t="n">
        <v>8</v>
      </c>
      <c r="I1180" s="1" t="s">
        <v>129</v>
      </c>
      <c r="J1180" s="1" t="s">
        <v>419</v>
      </c>
      <c r="K1180" s="1" t="n">
        <v>15</v>
      </c>
    </row>
    <row r="1181" customFormat="false" ht="14.25" hidden="true" customHeight="false" outlineLevel="0" collapsed="false">
      <c r="A1181" s="1" t="n">
        <v>3</v>
      </c>
      <c r="B1181" s="1" t="s">
        <v>82</v>
      </c>
      <c r="C1181" s="1" t="s">
        <v>418</v>
      </c>
      <c r="D1181" s="23"/>
      <c r="E1181" s="1" t="s">
        <v>210</v>
      </c>
      <c r="F1181" s="1" t="s">
        <v>120</v>
      </c>
      <c r="G1181" s="21" t="n">
        <f aca="false">ROUND(K1181/PI(),0)</f>
        <v>3</v>
      </c>
      <c r="H1181" s="1" t="n">
        <v>5</v>
      </c>
      <c r="I1181" s="1" t="s">
        <v>129</v>
      </c>
      <c r="J1181" s="1" t="s">
        <v>419</v>
      </c>
      <c r="K1181" s="1" t="n">
        <v>9</v>
      </c>
    </row>
    <row r="1182" customFormat="false" ht="14.25" hidden="true" customHeight="false" outlineLevel="0" collapsed="false">
      <c r="A1182" s="1" t="n">
        <v>3</v>
      </c>
      <c r="B1182" s="1" t="s">
        <v>82</v>
      </c>
      <c r="C1182" s="1" t="s">
        <v>418</v>
      </c>
      <c r="D1182" s="23"/>
      <c r="G1182" s="21" t="n">
        <f aca="false">ROUND(K1182/PI(),0)</f>
        <v>4</v>
      </c>
      <c r="H1182" s="1" t="n">
        <v>7</v>
      </c>
      <c r="I1182" s="1" t="s">
        <v>127</v>
      </c>
      <c r="J1182" s="1" t="s">
        <v>419</v>
      </c>
      <c r="K1182" s="1" t="n">
        <v>14</v>
      </c>
    </row>
    <row r="1183" customFormat="false" ht="14.25" hidden="true" customHeight="false" outlineLevel="0" collapsed="false">
      <c r="A1183" s="1" t="n">
        <v>3</v>
      </c>
      <c r="B1183" s="1" t="s">
        <v>82</v>
      </c>
      <c r="C1183" s="1" t="s">
        <v>418</v>
      </c>
      <c r="D1183" s="23"/>
      <c r="G1183" s="21" t="n">
        <f aca="false">ROUND(K1183/PI(),0)</f>
        <v>4</v>
      </c>
      <c r="H1183" s="1" t="n">
        <v>6</v>
      </c>
      <c r="I1183" s="1" t="s">
        <v>129</v>
      </c>
      <c r="J1183" s="1" t="s">
        <v>419</v>
      </c>
      <c r="K1183" s="1" t="n">
        <v>13</v>
      </c>
    </row>
    <row r="1184" customFormat="false" ht="14.25" hidden="true" customHeight="false" outlineLevel="0" collapsed="false">
      <c r="A1184" s="1" t="n">
        <v>8</v>
      </c>
      <c r="B1184" s="1" t="s">
        <v>122</v>
      </c>
      <c r="C1184" s="1" t="s">
        <v>420</v>
      </c>
      <c r="D1184" s="23" t="s">
        <v>274</v>
      </c>
      <c r="E1184" s="1" t="s">
        <v>275</v>
      </c>
      <c r="F1184" s="2" t="s">
        <v>120</v>
      </c>
      <c r="G1184" s="21" t="n">
        <f aca="false">K1184/3.1416</f>
        <v>3.18309141838554</v>
      </c>
      <c r="H1184" s="1" t="n">
        <v>2.5</v>
      </c>
      <c r="I1184" s="2" t="s">
        <v>127</v>
      </c>
      <c r="J1184" s="1" t="s">
        <v>149</v>
      </c>
      <c r="K1184" s="1" t="n">
        <v>10</v>
      </c>
    </row>
    <row r="1185" customFormat="false" ht="14.25" hidden="true" customHeight="false" outlineLevel="0" collapsed="false">
      <c r="A1185" s="1" t="n">
        <v>23</v>
      </c>
      <c r="B1185" s="1" t="s">
        <v>135</v>
      </c>
      <c r="C1185" s="1" t="s">
        <v>420</v>
      </c>
      <c r="D1185" s="23" t="s">
        <v>403</v>
      </c>
      <c r="E1185" s="1" t="s">
        <v>156</v>
      </c>
      <c r="F1185" s="1" t="s">
        <v>120</v>
      </c>
      <c r="G1185" s="21" t="n">
        <f aca="false">K1185/3.1416</f>
        <v>2.54647313470843</v>
      </c>
      <c r="H1185" s="1" t="n">
        <v>3</v>
      </c>
      <c r="I1185" s="1" t="s">
        <v>134</v>
      </c>
      <c r="J1185" s="1" t="s">
        <v>149</v>
      </c>
      <c r="K1185" s="1" t="n">
        <v>8</v>
      </c>
    </row>
    <row r="1186" customFormat="false" ht="14.25" hidden="true" customHeight="false" outlineLevel="0" collapsed="false">
      <c r="A1186" s="1" t="n">
        <v>23</v>
      </c>
      <c r="B1186" s="1" t="s">
        <v>135</v>
      </c>
      <c r="C1186" s="1" t="s">
        <v>420</v>
      </c>
      <c r="D1186" s="23"/>
      <c r="G1186" s="21" t="n">
        <f aca="false">K1186/3.1416</f>
        <v>3.50140056022409</v>
      </c>
      <c r="H1186" s="1" t="n">
        <v>5</v>
      </c>
      <c r="I1186" s="1" t="s">
        <v>129</v>
      </c>
      <c r="J1186" s="1" t="s">
        <v>149</v>
      </c>
      <c r="K1186" s="1" t="n">
        <v>11</v>
      </c>
    </row>
    <row r="1187" customFormat="false" ht="14.25" hidden="true" customHeight="false" outlineLevel="0" collapsed="false">
      <c r="A1187" s="1" t="n">
        <v>23</v>
      </c>
      <c r="B1187" s="1" t="s">
        <v>135</v>
      </c>
      <c r="C1187" s="1" t="s">
        <v>420</v>
      </c>
      <c r="D1187" s="23" t="s">
        <v>238</v>
      </c>
      <c r="E1187" s="1" t="s">
        <v>239</v>
      </c>
      <c r="F1187" s="1" t="s">
        <v>120</v>
      </c>
      <c r="G1187" s="21" t="n">
        <f aca="false">K1187/3.1416</f>
        <v>2.54647313470843</v>
      </c>
      <c r="H1187" s="1" t="n">
        <v>5</v>
      </c>
      <c r="I1187" s="1" t="s">
        <v>129</v>
      </c>
      <c r="J1187" s="1" t="s">
        <v>149</v>
      </c>
      <c r="K1187" s="1" t="n">
        <v>8</v>
      </c>
    </row>
    <row r="1188" customFormat="false" ht="14.25" hidden="true" customHeight="false" outlineLevel="0" collapsed="false">
      <c r="A1188" s="1" t="n">
        <v>23</v>
      </c>
      <c r="B1188" s="1" t="s">
        <v>135</v>
      </c>
      <c r="C1188" s="1" t="s">
        <v>420</v>
      </c>
      <c r="D1188" s="23" t="s">
        <v>189</v>
      </c>
      <c r="E1188" s="1" t="s">
        <v>145</v>
      </c>
      <c r="F1188" s="1" t="s">
        <v>120</v>
      </c>
      <c r="G1188" s="21" t="n">
        <f aca="false">K1188/3.1416</f>
        <v>2.86478227654698</v>
      </c>
      <c r="H1188" s="1" t="n">
        <v>6</v>
      </c>
      <c r="I1188" s="1" t="s">
        <v>129</v>
      </c>
      <c r="J1188" s="1" t="s">
        <v>149</v>
      </c>
      <c r="K1188" s="1" t="n">
        <v>9</v>
      </c>
    </row>
    <row r="1189" customFormat="false" ht="14.25" hidden="true" customHeight="false" outlineLevel="0" collapsed="false">
      <c r="A1189" s="1" t="n">
        <v>24</v>
      </c>
      <c r="B1189" s="1" t="s">
        <v>135</v>
      </c>
      <c r="C1189" s="1" t="s">
        <v>420</v>
      </c>
      <c r="D1189" s="23"/>
      <c r="E1189" s="1" t="s">
        <v>156</v>
      </c>
      <c r="F1189" s="1" t="s">
        <v>120</v>
      </c>
      <c r="G1189" s="21" t="n">
        <f aca="false">K1189/3.1416</f>
        <v>2.54647313470843</v>
      </c>
      <c r="H1189" s="1" t="n">
        <v>3</v>
      </c>
      <c r="I1189" s="1" t="s">
        <v>127</v>
      </c>
      <c r="J1189" s="1" t="s">
        <v>149</v>
      </c>
      <c r="K1189" s="1" t="n">
        <v>8</v>
      </c>
    </row>
    <row r="1190" customFormat="false" ht="14.25" hidden="true" customHeight="false" outlineLevel="0" collapsed="false">
      <c r="A1190" s="1" t="n">
        <v>24</v>
      </c>
      <c r="B1190" s="1" t="s">
        <v>135</v>
      </c>
      <c r="C1190" s="1" t="s">
        <v>420</v>
      </c>
      <c r="D1190" s="23" t="s">
        <v>421</v>
      </c>
      <c r="E1190" s="1" t="s">
        <v>145</v>
      </c>
      <c r="F1190" s="1" t="s">
        <v>120</v>
      </c>
      <c r="G1190" s="21" t="n">
        <f aca="false">K1190/3.1416</f>
        <v>5.09294626941686</v>
      </c>
      <c r="H1190" s="1" t="n">
        <v>6</v>
      </c>
      <c r="I1190" s="1" t="s">
        <v>129</v>
      </c>
      <c r="J1190" s="1" t="s">
        <v>149</v>
      </c>
      <c r="K1190" s="1" t="n">
        <v>16</v>
      </c>
    </row>
    <row r="1191" customFormat="false" ht="14.25" hidden="true" customHeight="false" outlineLevel="0" collapsed="false">
      <c r="A1191" s="1" t="n">
        <v>24</v>
      </c>
      <c r="B1191" s="1" t="s">
        <v>135</v>
      </c>
      <c r="C1191" s="1" t="s">
        <v>420</v>
      </c>
      <c r="D1191" s="23" t="s">
        <v>421</v>
      </c>
      <c r="E1191" s="1" t="s">
        <v>145</v>
      </c>
      <c r="F1191" s="1" t="s">
        <v>120</v>
      </c>
      <c r="G1191" s="21" t="n">
        <f aca="false">K1191/3.1416</f>
        <v>3.50140056022409</v>
      </c>
      <c r="H1191" s="1" t="n">
        <v>6</v>
      </c>
      <c r="I1191" s="1" t="s">
        <v>129</v>
      </c>
      <c r="J1191" s="1" t="s">
        <v>149</v>
      </c>
      <c r="K1191" s="1" t="n">
        <v>11</v>
      </c>
    </row>
    <row r="1192" customFormat="false" ht="14.25" hidden="true" customHeight="false" outlineLevel="0" collapsed="false">
      <c r="A1192" s="1" t="n">
        <v>24</v>
      </c>
      <c r="B1192" s="1" t="s">
        <v>135</v>
      </c>
      <c r="C1192" s="1" t="s">
        <v>420</v>
      </c>
      <c r="D1192" s="23" t="s">
        <v>421</v>
      </c>
      <c r="E1192" s="1" t="s">
        <v>145</v>
      </c>
      <c r="F1192" s="1" t="s">
        <v>120</v>
      </c>
      <c r="G1192" s="21" t="n">
        <f aca="false">K1192/3.1416</f>
        <v>2.54647313470843</v>
      </c>
      <c r="H1192" s="1" t="n">
        <v>3</v>
      </c>
      <c r="I1192" s="1" t="s">
        <v>129</v>
      </c>
      <c r="J1192" s="1" t="s">
        <v>149</v>
      </c>
      <c r="K1192" s="1" t="n">
        <v>8</v>
      </c>
    </row>
    <row r="1193" customFormat="false" ht="14.25" hidden="true" customHeight="false" outlineLevel="0" collapsed="false">
      <c r="A1193" s="1" t="n">
        <v>25</v>
      </c>
      <c r="B1193" s="1" t="s">
        <v>135</v>
      </c>
      <c r="C1193" s="1" t="s">
        <v>420</v>
      </c>
      <c r="D1193" s="23" t="s">
        <v>422</v>
      </c>
      <c r="E1193" s="1" t="s">
        <v>210</v>
      </c>
      <c r="F1193" s="1" t="s">
        <v>120</v>
      </c>
      <c r="G1193" s="21" t="n">
        <f aca="false">K1193/3.1416</f>
        <v>2.54647313470843</v>
      </c>
      <c r="H1193" s="1" t="n">
        <v>3</v>
      </c>
      <c r="I1193" s="1" t="s">
        <v>127</v>
      </c>
      <c r="J1193" s="1" t="s">
        <v>149</v>
      </c>
      <c r="K1193" s="1" t="n">
        <v>8</v>
      </c>
    </row>
    <row r="1194" customFormat="false" ht="14.25" hidden="true" customHeight="false" outlineLevel="0" collapsed="false">
      <c r="A1194" s="1" t="n">
        <v>26</v>
      </c>
      <c r="B1194" s="1" t="s">
        <v>135</v>
      </c>
      <c r="C1194" s="1" t="s">
        <v>420</v>
      </c>
      <c r="D1194" s="23"/>
      <c r="G1194" s="21" t="n">
        <f aca="false">K1194/3.1416</f>
        <v>4.7746371275783</v>
      </c>
      <c r="H1194" s="1" t="n">
        <v>7</v>
      </c>
      <c r="I1194" s="1" t="s">
        <v>127</v>
      </c>
      <c r="J1194" s="1" t="s">
        <v>149</v>
      </c>
      <c r="K1194" s="1" t="n">
        <v>15</v>
      </c>
    </row>
    <row r="1195" customFormat="false" ht="14.25" hidden="true" customHeight="false" outlineLevel="0" collapsed="false">
      <c r="A1195" s="1" t="n">
        <v>27</v>
      </c>
      <c r="B1195" s="1" t="s">
        <v>82</v>
      </c>
      <c r="C1195" s="1" t="s">
        <v>420</v>
      </c>
      <c r="D1195" s="23"/>
      <c r="G1195" s="21" t="n">
        <f aca="false">K1195/3.1416</f>
        <v>3.81970970206264</v>
      </c>
      <c r="H1195" s="1" t="n">
        <v>8</v>
      </c>
      <c r="I1195" s="1" t="s">
        <v>129</v>
      </c>
      <c r="J1195" s="1" t="s">
        <v>149</v>
      </c>
      <c r="K1195" s="1" t="n">
        <v>12</v>
      </c>
    </row>
    <row r="1196" customFormat="false" ht="14.25" hidden="true" customHeight="false" outlineLevel="0" collapsed="false">
      <c r="A1196" s="1" t="n">
        <v>28</v>
      </c>
      <c r="B1196" s="1" t="s">
        <v>82</v>
      </c>
      <c r="C1196" s="1" t="s">
        <v>420</v>
      </c>
      <c r="D1196" s="23"/>
      <c r="G1196" s="21" t="n">
        <f aca="false">K1196/3.1416</f>
        <v>3.18309141838554</v>
      </c>
      <c r="H1196" s="1" t="n">
        <v>7</v>
      </c>
      <c r="I1196" s="1" t="s">
        <v>129</v>
      </c>
      <c r="J1196" s="1" t="s">
        <v>149</v>
      </c>
      <c r="K1196" s="1" t="n">
        <v>10</v>
      </c>
    </row>
    <row r="1197" customFormat="false" ht="14.25" hidden="true" customHeight="false" outlineLevel="0" collapsed="false">
      <c r="A1197" s="1" t="n">
        <v>28</v>
      </c>
      <c r="B1197" s="1" t="s">
        <v>82</v>
      </c>
      <c r="C1197" s="1" t="s">
        <v>420</v>
      </c>
      <c r="D1197" s="23"/>
      <c r="G1197" s="21" t="n">
        <f aca="false">K1197/3.1416</f>
        <v>6.04787369493252</v>
      </c>
      <c r="H1197" s="1" t="n">
        <v>7</v>
      </c>
      <c r="I1197" s="1" t="s">
        <v>129</v>
      </c>
      <c r="J1197" s="1" t="s">
        <v>149</v>
      </c>
      <c r="K1197" s="1" t="n">
        <v>19</v>
      </c>
    </row>
    <row r="1198" customFormat="false" ht="14.25" hidden="true" customHeight="false" outlineLevel="0" collapsed="false">
      <c r="A1198" s="1" t="n">
        <v>28</v>
      </c>
      <c r="B1198" s="1" t="s">
        <v>82</v>
      </c>
      <c r="C1198" s="1" t="s">
        <v>420</v>
      </c>
      <c r="D1198" s="23"/>
      <c r="G1198" s="21" t="n">
        <f aca="false">K1198/3.1416</f>
        <v>8.27603768780239</v>
      </c>
      <c r="H1198" s="1" t="n">
        <v>8</v>
      </c>
      <c r="I1198" s="1" t="s">
        <v>129</v>
      </c>
      <c r="J1198" s="1" t="s">
        <v>149</v>
      </c>
      <c r="K1198" s="1" t="n">
        <v>26</v>
      </c>
    </row>
    <row r="1199" customFormat="false" ht="14.25" hidden="true" customHeight="false" outlineLevel="0" collapsed="false">
      <c r="A1199" s="1" t="n">
        <v>30</v>
      </c>
      <c r="B1199" s="1" t="s">
        <v>131</v>
      </c>
      <c r="C1199" s="1" t="s">
        <v>420</v>
      </c>
      <c r="D1199" s="23"/>
      <c r="G1199" s="21" t="n">
        <f aca="false">K1199/3.1416</f>
        <v>2.54647313470843</v>
      </c>
      <c r="H1199" s="1" t="n">
        <v>6</v>
      </c>
      <c r="I1199" s="1" t="s">
        <v>129</v>
      </c>
      <c r="J1199" s="1" t="s">
        <v>149</v>
      </c>
      <c r="K1199" s="1" t="n">
        <v>8</v>
      </c>
    </row>
    <row r="1200" customFormat="false" ht="14.25" hidden="true" customHeight="false" outlineLevel="0" collapsed="false">
      <c r="A1200" s="1" t="n">
        <v>30</v>
      </c>
      <c r="B1200" s="1" t="s">
        <v>131</v>
      </c>
      <c r="C1200" s="1" t="s">
        <v>420</v>
      </c>
      <c r="D1200" s="23"/>
      <c r="G1200" s="21" t="n">
        <f aca="false">K1200/3.1416</f>
        <v>2.54647313470843</v>
      </c>
      <c r="H1200" s="1" t="n">
        <v>5</v>
      </c>
      <c r="I1200" s="1" t="s">
        <v>129</v>
      </c>
      <c r="J1200" s="1" t="s">
        <v>149</v>
      </c>
      <c r="K1200" s="1" t="n">
        <v>8</v>
      </c>
    </row>
    <row r="1201" customFormat="false" ht="14.25" hidden="true" customHeight="false" outlineLevel="0" collapsed="false">
      <c r="A1201" s="1" t="n">
        <v>2</v>
      </c>
      <c r="B1201" s="1" t="s">
        <v>82</v>
      </c>
      <c r="C1201" s="1" t="s">
        <v>423</v>
      </c>
      <c r="D1201" s="23" t="s">
        <v>373</v>
      </c>
      <c r="E1201" s="1" t="s">
        <v>219</v>
      </c>
      <c r="F1201" s="1" t="s">
        <v>120</v>
      </c>
      <c r="G1201" s="21" t="n">
        <f aca="false">K1201/3.1416</f>
        <v>3.18309141838554</v>
      </c>
      <c r="H1201" s="1" t="n">
        <v>0</v>
      </c>
      <c r="I1201" s="2" t="s">
        <v>74</v>
      </c>
      <c r="J1201" s="1" t="s">
        <v>149</v>
      </c>
      <c r="K1201" s="1" t="n">
        <v>10</v>
      </c>
    </row>
    <row r="1202" customFormat="false" ht="14.25" hidden="true" customHeight="false" outlineLevel="0" collapsed="false">
      <c r="A1202" s="1" t="n">
        <v>27</v>
      </c>
      <c r="B1202" s="1" t="s">
        <v>82</v>
      </c>
      <c r="C1202" s="1" t="s">
        <v>423</v>
      </c>
      <c r="D1202" s="23" t="s">
        <v>373</v>
      </c>
      <c r="E1202" s="1" t="s">
        <v>219</v>
      </c>
      <c r="F1202" s="1" t="s">
        <v>120</v>
      </c>
      <c r="G1202" s="21" t="n">
        <f aca="false">K1202/3.1416</f>
        <v>2.54647313470843</v>
      </c>
      <c r="H1202" s="1" t="n">
        <v>3</v>
      </c>
      <c r="I1202" s="1" t="s">
        <v>129</v>
      </c>
      <c r="J1202" s="1" t="s">
        <v>149</v>
      </c>
      <c r="K1202" s="1" t="n">
        <v>8</v>
      </c>
    </row>
    <row r="1203" customFormat="false" ht="14.25" hidden="true" customHeight="false" outlineLevel="0" collapsed="false">
      <c r="A1203" s="1" t="n">
        <v>27</v>
      </c>
      <c r="B1203" s="1" t="s">
        <v>82</v>
      </c>
      <c r="C1203" s="1" t="s">
        <v>423</v>
      </c>
      <c r="D1203" s="23" t="s">
        <v>373</v>
      </c>
      <c r="E1203" s="1" t="s">
        <v>219</v>
      </c>
      <c r="F1203" s="1" t="s">
        <v>120</v>
      </c>
      <c r="G1203" s="21" t="n">
        <f aca="false">K1203/3.1416</f>
        <v>3.18309141838554</v>
      </c>
      <c r="H1203" s="1" t="n">
        <v>7</v>
      </c>
      <c r="I1203" s="1" t="s">
        <v>134</v>
      </c>
      <c r="J1203" s="1" t="s">
        <v>149</v>
      </c>
      <c r="K1203" s="1" t="n">
        <v>10</v>
      </c>
    </row>
    <row r="1204" customFormat="false" ht="14.25" hidden="true" customHeight="false" outlineLevel="0" collapsed="false">
      <c r="A1204" s="1" t="n">
        <v>31</v>
      </c>
      <c r="B1204" s="1" t="s">
        <v>131</v>
      </c>
      <c r="C1204" s="1" t="s">
        <v>423</v>
      </c>
      <c r="D1204" s="23" t="s">
        <v>373</v>
      </c>
      <c r="E1204" s="1" t="s">
        <v>219</v>
      </c>
      <c r="F1204" s="1" t="s">
        <v>120</v>
      </c>
      <c r="G1204" s="21" t="n">
        <f aca="false">K1204/3.1416</f>
        <v>11.4591291061879</v>
      </c>
      <c r="H1204" s="1" t="n">
        <v>12</v>
      </c>
      <c r="I1204" s="1" t="s">
        <v>129</v>
      </c>
      <c r="J1204" s="1" t="s">
        <v>149</v>
      </c>
      <c r="K1204" s="1" t="n">
        <v>36</v>
      </c>
    </row>
    <row r="1205" customFormat="false" ht="14.25" hidden="true" customHeight="false" outlineLevel="0" collapsed="false">
      <c r="A1205" s="1" t="n">
        <v>1</v>
      </c>
      <c r="B1205" s="1" t="s">
        <v>82</v>
      </c>
      <c r="C1205" s="1" t="s">
        <v>424</v>
      </c>
      <c r="D1205" s="23"/>
      <c r="G1205" s="21" t="n">
        <f aca="false">K1205/3.1416</f>
        <v>3.18309141838554</v>
      </c>
      <c r="H1205" s="1" t="n">
        <v>0</v>
      </c>
      <c r="I1205" s="2" t="s">
        <v>74</v>
      </c>
      <c r="J1205" s="1" t="s">
        <v>149</v>
      </c>
      <c r="K1205" s="1" t="n">
        <v>10</v>
      </c>
    </row>
    <row r="1206" customFormat="false" ht="14.25" hidden="true" customHeight="false" outlineLevel="0" collapsed="false">
      <c r="A1206" s="1" t="n">
        <v>1</v>
      </c>
      <c r="B1206" s="1" t="s">
        <v>82</v>
      </c>
      <c r="C1206" s="1" t="s">
        <v>424</v>
      </c>
      <c r="D1206" s="23"/>
      <c r="G1206" s="21" t="n">
        <f aca="false">K1206/3.1416</f>
        <v>3.18309141838554</v>
      </c>
      <c r="H1206" s="1" t="n">
        <v>0</v>
      </c>
      <c r="I1206" s="2" t="s">
        <v>74</v>
      </c>
      <c r="J1206" s="1" t="s">
        <v>149</v>
      </c>
      <c r="K1206" s="1" t="n">
        <v>10</v>
      </c>
    </row>
    <row r="1207" customFormat="false" ht="14.25" hidden="true" customHeight="false" outlineLevel="0" collapsed="false">
      <c r="A1207" s="1" t="n">
        <v>6</v>
      </c>
      <c r="B1207" s="1" t="s">
        <v>122</v>
      </c>
      <c r="C1207" s="1" t="s">
        <v>424</v>
      </c>
      <c r="D1207" s="23"/>
      <c r="G1207" s="21" t="n">
        <f aca="false">K1207/3.1416</f>
        <v>3.18309141838554</v>
      </c>
      <c r="H1207" s="1" t="n">
        <v>1.5</v>
      </c>
      <c r="I1207" s="2" t="s">
        <v>74</v>
      </c>
      <c r="J1207" s="1" t="s">
        <v>149</v>
      </c>
      <c r="K1207" s="1" t="n">
        <v>10</v>
      </c>
    </row>
    <row r="1208" customFormat="false" ht="14.25" hidden="true" customHeight="false" outlineLevel="0" collapsed="false">
      <c r="A1208" s="1" t="n">
        <v>7</v>
      </c>
      <c r="B1208" s="1" t="s">
        <v>122</v>
      </c>
      <c r="C1208" s="1" t="s">
        <v>424</v>
      </c>
      <c r="D1208" s="23" t="s">
        <v>273</v>
      </c>
      <c r="E1208" s="1" t="s">
        <v>133</v>
      </c>
      <c r="F1208" s="2" t="s">
        <v>138</v>
      </c>
      <c r="G1208" s="21" t="n">
        <f aca="false">K1208/3.1416</f>
        <v>2.22816399286988</v>
      </c>
      <c r="H1208" s="1" t="n">
        <v>2</v>
      </c>
      <c r="I1208" s="2" t="s">
        <v>74</v>
      </c>
      <c r="J1208" s="1" t="s">
        <v>149</v>
      </c>
      <c r="K1208" s="1" t="n">
        <v>7</v>
      </c>
    </row>
    <row r="1209" customFormat="false" ht="14.25" hidden="true" customHeight="false" outlineLevel="0" collapsed="false">
      <c r="A1209" s="1" t="n">
        <v>8</v>
      </c>
      <c r="B1209" s="1" t="s">
        <v>122</v>
      </c>
      <c r="C1209" s="1" t="s">
        <v>424</v>
      </c>
      <c r="D1209" s="23"/>
      <c r="G1209" s="21" t="n">
        <f aca="false">K1209/3.1416</f>
        <v>4.1380188439012</v>
      </c>
      <c r="H1209" s="1" t="n">
        <v>5</v>
      </c>
      <c r="I1209" s="2" t="s">
        <v>129</v>
      </c>
      <c r="J1209" s="1" t="s">
        <v>149</v>
      </c>
      <c r="K1209" s="1" t="n">
        <v>13</v>
      </c>
    </row>
    <row r="1210" customFormat="false" ht="14.25" hidden="true" customHeight="false" outlineLevel="0" collapsed="false">
      <c r="A1210" s="1" t="n">
        <v>8</v>
      </c>
      <c r="B1210" s="1" t="s">
        <v>122</v>
      </c>
      <c r="C1210" s="1" t="s">
        <v>424</v>
      </c>
      <c r="D1210" s="23"/>
      <c r="G1210" s="21" t="n">
        <f aca="false">K1210/3.1416</f>
        <v>5.41125541125541</v>
      </c>
      <c r="H1210" s="1" t="n">
        <v>7</v>
      </c>
      <c r="I1210" s="2" t="s">
        <v>129</v>
      </c>
      <c r="J1210" s="1" t="s">
        <v>149</v>
      </c>
      <c r="K1210" s="1" t="n">
        <v>17</v>
      </c>
    </row>
    <row r="1211" customFormat="false" ht="14.25" hidden="true" customHeight="false" outlineLevel="0" collapsed="false">
      <c r="A1211" s="1" t="n">
        <v>9</v>
      </c>
      <c r="B1211" s="1" t="s">
        <v>122</v>
      </c>
      <c r="C1211" s="1" t="s">
        <v>424</v>
      </c>
      <c r="D1211" s="23"/>
      <c r="E1211" s="1" t="s">
        <v>145</v>
      </c>
      <c r="F1211" s="2" t="s">
        <v>120</v>
      </c>
      <c r="G1211" s="21" t="n">
        <f aca="false">K1211/3.1416</f>
        <v>3.81970970206264</v>
      </c>
      <c r="H1211" s="1" t="n">
        <v>2.5</v>
      </c>
      <c r="I1211" s="2" t="s">
        <v>129</v>
      </c>
      <c r="J1211" s="1" t="s">
        <v>149</v>
      </c>
      <c r="K1211" s="1" t="n">
        <v>12</v>
      </c>
    </row>
    <row r="1212" customFormat="false" ht="14.25" hidden="true" customHeight="false" outlineLevel="0" collapsed="false">
      <c r="A1212" s="1" t="n">
        <v>12</v>
      </c>
      <c r="B1212" s="1" t="s">
        <v>128</v>
      </c>
      <c r="C1212" s="1" t="s">
        <v>424</v>
      </c>
      <c r="D1212" s="23" t="s">
        <v>425</v>
      </c>
      <c r="E1212" s="1" t="s">
        <v>174</v>
      </c>
      <c r="F1212" s="1" t="s">
        <v>120</v>
      </c>
      <c r="G1212" s="21" t="n">
        <f aca="false">K1212/3.1416</f>
        <v>3.18309141838554</v>
      </c>
      <c r="H1212" s="1" t="n">
        <v>3</v>
      </c>
      <c r="I1212" s="1" t="s">
        <v>129</v>
      </c>
      <c r="J1212" s="1" t="s">
        <v>149</v>
      </c>
      <c r="K1212" s="1" t="n">
        <v>10</v>
      </c>
    </row>
    <row r="1213" customFormat="false" ht="14.25" hidden="true" customHeight="false" outlineLevel="0" collapsed="false">
      <c r="A1213" s="1" t="n">
        <v>12</v>
      </c>
      <c r="B1213" s="1" t="s">
        <v>128</v>
      </c>
      <c r="C1213" s="1" t="s">
        <v>424</v>
      </c>
      <c r="D1213" s="23" t="s">
        <v>425</v>
      </c>
      <c r="E1213" s="1" t="s">
        <v>174</v>
      </c>
      <c r="F1213" s="1" t="s">
        <v>120</v>
      </c>
      <c r="G1213" s="21" t="n">
        <f aca="false">K1213/3.1416</f>
        <v>3.50140056022409</v>
      </c>
      <c r="H1213" s="1" t="n">
        <v>5</v>
      </c>
      <c r="I1213" s="1" t="s">
        <v>129</v>
      </c>
      <c r="J1213" s="1" t="s">
        <v>149</v>
      </c>
      <c r="K1213" s="1" t="n">
        <v>11</v>
      </c>
    </row>
    <row r="1214" customFormat="false" ht="14.25" hidden="true" customHeight="false" outlineLevel="0" collapsed="false">
      <c r="A1214" s="1" t="n">
        <v>13</v>
      </c>
      <c r="B1214" s="1" t="s">
        <v>128</v>
      </c>
      <c r="C1214" s="1" t="s">
        <v>424</v>
      </c>
      <c r="D1214" s="23"/>
      <c r="G1214" s="21" t="n">
        <f aca="false">2*K1214/3.1416</f>
        <v>12.095747389865</v>
      </c>
      <c r="H1214" s="1" t="n">
        <v>6</v>
      </c>
      <c r="I1214" s="1" t="s">
        <v>127</v>
      </c>
      <c r="J1214" s="1" t="s">
        <v>149</v>
      </c>
      <c r="K1214" s="1" t="n">
        <v>19</v>
      </c>
    </row>
    <row r="1215" customFormat="false" ht="14.25" hidden="true" customHeight="false" outlineLevel="0" collapsed="false">
      <c r="A1215" s="1" t="n">
        <v>14</v>
      </c>
      <c r="B1215" s="1" t="s">
        <v>131</v>
      </c>
      <c r="C1215" s="1" t="s">
        <v>424</v>
      </c>
      <c r="D1215" s="23" t="s">
        <v>181</v>
      </c>
      <c r="E1215" s="1" t="s">
        <v>182</v>
      </c>
      <c r="F1215" s="1" t="s">
        <v>197</v>
      </c>
      <c r="G1215" s="21" t="n">
        <f aca="false">K1215/3.1416</f>
        <v>3.50140056022409</v>
      </c>
      <c r="H1215" s="1" t="n">
        <v>4</v>
      </c>
      <c r="I1215" s="1" t="s">
        <v>129</v>
      </c>
      <c r="J1215" s="1" t="s">
        <v>149</v>
      </c>
      <c r="K1215" s="1" t="n">
        <v>11</v>
      </c>
    </row>
    <row r="1216" customFormat="false" ht="14.25" hidden="true" customHeight="false" outlineLevel="0" collapsed="false">
      <c r="A1216" s="1" t="n">
        <v>14</v>
      </c>
      <c r="B1216" s="1" t="s">
        <v>131</v>
      </c>
      <c r="C1216" s="1" t="s">
        <v>424</v>
      </c>
      <c r="D1216" s="23" t="s">
        <v>181</v>
      </c>
      <c r="E1216" s="1" t="s">
        <v>182</v>
      </c>
      <c r="F1216" s="1" t="s">
        <v>197</v>
      </c>
      <c r="G1216" s="21" t="n">
        <f aca="false">K1216/3.1416</f>
        <v>3.18309141838554</v>
      </c>
      <c r="H1216" s="1" t="n">
        <v>5</v>
      </c>
      <c r="I1216" s="1" t="s">
        <v>129</v>
      </c>
      <c r="J1216" s="1" t="s">
        <v>149</v>
      </c>
      <c r="K1216" s="1" t="n">
        <v>10</v>
      </c>
    </row>
    <row r="1217" customFormat="false" ht="14.25" hidden="true" customHeight="false" outlineLevel="0" collapsed="false">
      <c r="A1217" s="1" t="n">
        <v>14</v>
      </c>
      <c r="B1217" s="1" t="s">
        <v>131</v>
      </c>
      <c r="C1217" s="1" t="s">
        <v>424</v>
      </c>
      <c r="D1217" s="23" t="s">
        <v>181</v>
      </c>
      <c r="E1217" s="1" t="s">
        <v>182</v>
      </c>
      <c r="F1217" s="1" t="s">
        <v>197</v>
      </c>
      <c r="G1217" s="21" t="n">
        <f aca="false">K1217/3.1416</f>
        <v>3.50140056022409</v>
      </c>
      <c r="H1217" s="1" t="n">
        <v>4</v>
      </c>
      <c r="I1217" s="1" t="s">
        <v>127</v>
      </c>
      <c r="J1217" s="1" t="s">
        <v>149</v>
      </c>
      <c r="K1217" s="1" t="n">
        <v>11</v>
      </c>
    </row>
    <row r="1218" customFormat="false" ht="14.25" hidden="true" customHeight="false" outlineLevel="0" collapsed="false">
      <c r="A1218" s="1" t="n">
        <v>14</v>
      </c>
      <c r="B1218" s="1" t="s">
        <v>131</v>
      </c>
      <c r="C1218" s="1" t="s">
        <v>424</v>
      </c>
      <c r="D1218" s="23" t="s">
        <v>181</v>
      </c>
      <c r="E1218" s="1" t="s">
        <v>182</v>
      </c>
      <c r="F1218" s="1" t="s">
        <v>197</v>
      </c>
      <c r="G1218" s="21" t="n">
        <f aca="false">K1218/3.1416</f>
        <v>2.54647313470843</v>
      </c>
      <c r="H1218" s="1" t="n">
        <v>3</v>
      </c>
      <c r="I1218" s="1" t="s">
        <v>129</v>
      </c>
      <c r="J1218" s="1" t="s">
        <v>149</v>
      </c>
      <c r="K1218" s="1" t="n">
        <v>8</v>
      </c>
    </row>
    <row r="1219" customFormat="false" ht="14.25" hidden="true" customHeight="false" outlineLevel="0" collapsed="false">
      <c r="A1219" s="1" t="n">
        <v>14</v>
      </c>
      <c r="B1219" s="1" t="s">
        <v>131</v>
      </c>
      <c r="C1219" s="1" t="s">
        <v>424</v>
      </c>
      <c r="D1219" s="23" t="s">
        <v>181</v>
      </c>
      <c r="E1219" s="1" t="s">
        <v>182</v>
      </c>
      <c r="F1219" s="1" t="s">
        <v>197</v>
      </c>
      <c r="G1219" s="21" t="n">
        <f aca="false">K1219/3.1416</f>
        <v>3.18309141838554</v>
      </c>
      <c r="H1219" s="1" t="n">
        <v>3</v>
      </c>
      <c r="I1219" s="1" t="s">
        <v>129</v>
      </c>
      <c r="J1219" s="1" t="s">
        <v>149</v>
      </c>
      <c r="K1219" s="1" t="n">
        <v>10</v>
      </c>
    </row>
    <row r="1220" customFormat="false" ht="14.25" hidden="true" customHeight="false" outlineLevel="0" collapsed="false">
      <c r="A1220" s="1" t="n">
        <v>14</v>
      </c>
      <c r="B1220" s="1" t="s">
        <v>131</v>
      </c>
      <c r="C1220" s="1" t="s">
        <v>424</v>
      </c>
      <c r="D1220" s="23" t="s">
        <v>181</v>
      </c>
      <c r="E1220" s="1" t="s">
        <v>182</v>
      </c>
      <c r="F1220" s="1" t="s">
        <v>197</v>
      </c>
      <c r="G1220" s="21" t="n">
        <f aca="false">K1220/3.1416</f>
        <v>6.36618283677107</v>
      </c>
      <c r="H1220" s="1" t="n">
        <v>5</v>
      </c>
      <c r="I1220" s="1" t="s">
        <v>129</v>
      </c>
      <c r="J1220" s="1" t="s">
        <v>149</v>
      </c>
      <c r="K1220" s="1" t="n">
        <v>20</v>
      </c>
    </row>
    <row r="1221" customFormat="false" ht="14.25" hidden="true" customHeight="false" outlineLevel="0" collapsed="false">
      <c r="A1221" s="1" t="n">
        <v>14</v>
      </c>
      <c r="B1221" s="1" t="s">
        <v>131</v>
      </c>
      <c r="C1221" s="1" t="s">
        <v>424</v>
      </c>
      <c r="D1221" s="23" t="s">
        <v>181</v>
      </c>
      <c r="E1221" s="1" t="s">
        <v>182</v>
      </c>
      <c r="F1221" s="1" t="s">
        <v>197</v>
      </c>
      <c r="G1221" s="21" t="n">
        <f aca="false">K1221/3.1416</f>
        <v>6.04787369493252</v>
      </c>
      <c r="H1221" s="1" t="n">
        <v>4</v>
      </c>
      <c r="I1221" s="1" t="s">
        <v>129</v>
      </c>
      <c r="J1221" s="1" t="s">
        <v>149</v>
      </c>
      <c r="K1221" s="1" t="n">
        <v>19</v>
      </c>
    </row>
    <row r="1222" customFormat="false" ht="14.25" hidden="true" customHeight="false" outlineLevel="0" collapsed="false">
      <c r="A1222" s="1" t="n">
        <v>14</v>
      </c>
      <c r="B1222" s="1" t="s">
        <v>131</v>
      </c>
      <c r="C1222" s="1" t="s">
        <v>424</v>
      </c>
      <c r="D1222" s="23" t="s">
        <v>181</v>
      </c>
      <c r="E1222" s="1" t="s">
        <v>182</v>
      </c>
      <c r="F1222" s="1" t="s">
        <v>197</v>
      </c>
      <c r="G1222" s="21" t="n">
        <f aca="false">K1222/3.1416</f>
        <v>2.54647313470843</v>
      </c>
      <c r="H1222" s="1" t="n">
        <v>2</v>
      </c>
      <c r="I1222" s="1" t="s">
        <v>129</v>
      </c>
      <c r="J1222" s="1" t="s">
        <v>149</v>
      </c>
      <c r="K1222" s="1" t="n">
        <v>8</v>
      </c>
    </row>
    <row r="1223" customFormat="false" ht="14.25" hidden="true" customHeight="false" outlineLevel="0" collapsed="false">
      <c r="A1223" s="1" t="n">
        <v>19</v>
      </c>
      <c r="B1223" s="1" t="s">
        <v>128</v>
      </c>
      <c r="C1223" s="1" t="s">
        <v>424</v>
      </c>
      <c r="D1223" s="23" t="s">
        <v>181</v>
      </c>
      <c r="E1223" s="1" t="s">
        <v>182</v>
      </c>
      <c r="F1223" s="1" t="s">
        <v>197</v>
      </c>
      <c r="G1223" s="21" t="n">
        <f aca="false">K1223/3.1416</f>
        <v>4.1380188439012</v>
      </c>
      <c r="H1223" s="1" t="n">
        <v>4</v>
      </c>
      <c r="I1223" s="1" t="s">
        <v>129</v>
      </c>
      <c r="J1223" s="1" t="s">
        <v>149</v>
      </c>
      <c r="K1223" s="1" t="n">
        <v>13</v>
      </c>
    </row>
    <row r="1224" customFormat="false" ht="14.25" hidden="true" customHeight="false" outlineLevel="0" collapsed="false">
      <c r="A1224" s="1" t="n">
        <v>19</v>
      </c>
      <c r="B1224" s="1" t="s">
        <v>128</v>
      </c>
      <c r="C1224" s="1" t="s">
        <v>424</v>
      </c>
      <c r="D1224" s="23" t="s">
        <v>181</v>
      </c>
      <c r="E1224" s="1" t="s">
        <v>182</v>
      </c>
      <c r="F1224" s="1" t="s">
        <v>197</v>
      </c>
      <c r="G1224" s="21" t="n">
        <f aca="false">K1224/3.1416</f>
        <v>3.18309141838554</v>
      </c>
      <c r="H1224" s="1" t="n">
        <v>2</v>
      </c>
      <c r="I1224" s="1" t="s">
        <v>129</v>
      </c>
      <c r="J1224" s="1" t="s">
        <v>149</v>
      </c>
      <c r="K1224" s="1" t="n">
        <v>10</v>
      </c>
    </row>
    <row r="1225" customFormat="false" ht="14.25" hidden="true" customHeight="false" outlineLevel="0" collapsed="false">
      <c r="A1225" s="1" t="n">
        <v>19</v>
      </c>
      <c r="B1225" s="1" t="s">
        <v>128</v>
      </c>
      <c r="C1225" s="1" t="s">
        <v>424</v>
      </c>
      <c r="D1225" s="23" t="s">
        <v>192</v>
      </c>
      <c r="E1225" s="1" t="s">
        <v>193</v>
      </c>
      <c r="F1225" s="2" t="s">
        <v>120</v>
      </c>
      <c r="G1225" s="21" t="n">
        <f aca="false">K1225/3.1416</f>
        <v>3.81970970206264</v>
      </c>
      <c r="H1225" s="1" t="n">
        <v>4</v>
      </c>
      <c r="I1225" s="1" t="s">
        <v>129</v>
      </c>
      <c r="J1225" s="1" t="s">
        <v>149</v>
      </c>
      <c r="K1225" s="1" t="n">
        <v>12</v>
      </c>
    </row>
    <row r="1226" customFormat="false" ht="14.25" hidden="true" customHeight="false" outlineLevel="0" collapsed="false">
      <c r="A1226" s="1" t="n">
        <v>19</v>
      </c>
      <c r="B1226" s="1" t="s">
        <v>128</v>
      </c>
      <c r="C1226" s="1" t="s">
        <v>424</v>
      </c>
      <c r="D1226" s="23" t="s">
        <v>192</v>
      </c>
      <c r="E1226" s="1" t="s">
        <v>193</v>
      </c>
      <c r="F1226" s="2" t="s">
        <v>120</v>
      </c>
      <c r="G1226" s="21" t="n">
        <f aca="false">K1226/3.1416</f>
        <v>3.50140056022409</v>
      </c>
      <c r="H1226" s="1" t="n">
        <v>3</v>
      </c>
      <c r="I1226" s="1" t="s">
        <v>129</v>
      </c>
      <c r="J1226" s="1" t="s">
        <v>149</v>
      </c>
      <c r="K1226" s="1" t="n">
        <v>11</v>
      </c>
    </row>
    <row r="1227" customFormat="false" ht="14.25" hidden="true" customHeight="false" outlineLevel="0" collapsed="false">
      <c r="A1227" s="1" t="n">
        <v>19</v>
      </c>
      <c r="B1227" s="1" t="s">
        <v>128</v>
      </c>
      <c r="C1227" s="1" t="s">
        <v>424</v>
      </c>
      <c r="D1227" s="23" t="s">
        <v>192</v>
      </c>
      <c r="E1227" s="1" t="s">
        <v>193</v>
      </c>
      <c r="F1227" s="2" t="s">
        <v>120</v>
      </c>
      <c r="G1227" s="21" t="n">
        <f aca="false">K1227/3.1416</f>
        <v>2.54647313470843</v>
      </c>
      <c r="H1227" s="1" t="n">
        <v>2</v>
      </c>
      <c r="I1227" s="1" t="s">
        <v>129</v>
      </c>
      <c r="J1227" s="1" t="s">
        <v>149</v>
      </c>
      <c r="K1227" s="1" t="n">
        <v>8</v>
      </c>
    </row>
    <row r="1228" customFormat="false" ht="14.25" hidden="true" customHeight="false" outlineLevel="0" collapsed="false">
      <c r="A1228" s="1" t="n">
        <v>19</v>
      </c>
      <c r="B1228" s="1" t="s">
        <v>128</v>
      </c>
      <c r="C1228" s="1" t="s">
        <v>424</v>
      </c>
      <c r="D1228" s="23" t="s">
        <v>181</v>
      </c>
      <c r="E1228" s="1" t="s">
        <v>182</v>
      </c>
      <c r="F1228" s="1" t="s">
        <v>197</v>
      </c>
      <c r="G1228" s="21" t="n">
        <f aca="false">K1228/3.1416</f>
        <v>3.50140056022409</v>
      </c>
      <c r="H1228" s="1" t="n">
        <v>3</v>
      </c>
      <c r="I1228" s="1" t="s">
        <v>129</v>
      </c>
      <c r="J1228" s="1" t="s">
        <v>149</v>
      </c>
      <c r="K1228" s="1" t="n">
        <v>11</v>
      </c>
    </row>
    <row r="1229" customFormat="false" ht="14.25" hidden="true" customHeight="false" outlineLevel="0" collapsed="false">
      <c r="A1229" s="1" t="n">
        <v>19</v>
      </c>
      <c r="B1229" s="1" t="s">
        <v>128</v>
      </c>
      <c r="C1229" s="1" t="s">
        <v>424</v>
      </c>
      <c r="D1229" s="23" t="s">
        <v>181</v>
      </c>
      <c r="E1229" s="1" t="s">
        <v>182</v>
      </c>
      <c r="F1229" s="1" t="s">
        <v>197</v>
      </c>
      <c r="G1229" s="21" t="n">
        <f aca="false">K1229/3.1416</f>
        <v>2.54647313470843</v>
      </c>
      <c r="H1229" s="1" t="n">
        <v>2</v>
      </c>
      <c r="I1229" s="1" t="s">
        <v>129</v>
      </c>
      <c r="J1229" s="1" t="s">
        <v>149</v>
      </c>
      <c r="K1229" s="1" t="n">
        <v>8</v>
      </c>
    </row>
    <row r="1230" customFormat="false" ht="14.25" hidden="true" customHeight="false" outlineLevel="0" collapsed="false">
      <c r="A1230" s="1" t="n">
        <v>19</v>
      </c>
      <c r="B1230" s="1" t="s">
        <v>128</v>
      </c>
      <c r="C1230" s="1" t="s">
        <v>424</v>
      </c>
      <c r="D1230" s="23" t="s">
        <v>181</v>
      </c>
      <c r="E1230" s="1" t="s">
        <v>182</v>
      </c>
      <c r="F1230" s="1" t="s">
        <v>197</v>
      </c>
      <c r="G1230" s="21" t="n">
        <f aca="false">K1230/3.1416</f>
        <v>3.18309141838554</v>
      </c>
      <c r="H1230" s="1" t="n">
        <v>2</v>
      </c>
      <c r="I1230" s="1" t="s">
        <v>129</v>
      </c>
      <c r="J1230" s="1" t="s">
        <v>149</v>
      </c>
      <c r="K1230" s="1" t="n">
        <v>10</v>
      </c>
    </row>
    <row r="1231" customFormat="false" ht="14.25" hidden="true" customHeight="false" outlineLevel="0" collapsed="false">
      <c r="A1231" s="1" t="n">
        <v>19</v>
      </c>
      <c r="B1231" s="1" t="s">
        <v>128</v>
      </c>
      <c r="C1231" s="1" t="s">
        <v>424</v>
      </c>
      <c r="D1231" s="23" t="s">
        <v>181</v>
      </c>
      <c r="E1231" s="1" t="s">
        <v>182</v>
      </c>
      <c r="F1231" s="1" t="s">
        <v>197</v>
      </c>
      <c r="G1231" s="21" t="n">
        <f aca="false">K1231/3.1416</f>
        <v>3.18309141838554</v>
      </c>
      <c r="H1231" s="1" t="n">
        <v>3</v>
      </c>
      <c r="I1231" s="1" t="s">
        <v>129</v>
      </c>
      <c r="J1231" s="1" t="s">
        <v>149</v>
      </c>
      <c r="K1231" s="1" t="n">
        <v>10</v>
      </c>
    </row>
    <row r="1232" customFormat="false" ht="14.25" hidden="true" customHeight="false" outlineLevel="0" collapsed="false">
      <c r="A1232" s="1" t="n">
        <v>19</v>
      </c>
      <c r="B1232" s="1" t="s">
        <v>128</v>
      </c>
      <c r="C1232" s="1" t="s">
        <v>424</v>
      </c>
      <c r="D1232" s="23" t="s">
        <v>132</v>
      </c>
      <c r="E1232" s="1" t="s">
        <v>133</v>
      </c>
      <c r="F1232" s="1" t="s">
        <v>120</v>
      </c>
      <c r="G1232" s="21" t="n">
        <f aca="false">K1232/3.1416</f>
        <v>2.86478227654698</v>
      </c>
      <c r="H1232" s="1" t="n">
        <v>6</v>
      </c>
      <c r="I1232" s="1" t="s">
        <v>127</v>
      </c>
      <c r="J1232" s="1" t="s">
        <v>149</v>
      </c>
      <c r="K1232" s="1" t="n">
        <v>9</v>
      </c>
    </row>
    <row r="1233" customFormat="false" ht="14.25" hidden="true" customHeight="false" outlineLevel="0" collapsed="false">
      <c r="A1233" s="1" t="n">
        <v>19</v>
      </c>
      <c r="B1233" s="1" t="s">
        <v>128</v>
      </c>
      <c r="C1233" s="1" t="s">
        <v>424</v>
      </c>
      <c r="D1233" s="23" t="s">
        <v>426</v>
      </c>
      <c r="E1233" s="1" t="s">
        <v>165</v>
      </c>
      <c r="F1233" s="1" t="s">
        <v>120</v>
      </c>
      <c r="G1233" s="21" t="n">
        <f aca="false">K1233/3.1416</f>
        <v>3.81970970206264</v>
      </c>
      <c r="H1233" s="1" t="n">
        <v>5</v>
      </c>
      <c r="I1233" s="1" t="s">
        <v>129</v>
      </c>
      <c r="J1233" s="1" t="s">
        <v>149</v>
      </c>
      <c r="K1233" s="1" t="n">
        <v>12</v>
      </c>
    </row>
    <row r="1234" customFormat="false" ht="14.25" hidden="true" customHeight="false" outlineLevel="0" collapsed="false">
      <c r="A1234" s="1" t="n">
        <v>19</v>
      </c>
      <c r="B1234" s="1" t="s">
        <v>128</v>
      </c>
      <c r="C1234" s="1" t="s">
        <v>424</v>
      </c>
      <c r="D1234" s="23" t="s">
        <v>181</v>
      </c>
      <c r="E1234" s="1" t="s">
        <v>182</v>
      </c>
      <c r="F1234" s="1" t="s">
        <v>197</v>
      </c>
      <c r="G1234" s="21" t="n">
        <f aca="false">K1234/3.1416</f>
        <v>3.50140056022409</v>
      </c>
      <c r="H1234" s="1" t="n">
        <v>5</v>
      </c>
      <c r="I1234" s="1" t="s">
        <v>129</v>
      </c>
      <c r="J1234" s="1" t="s">
        <v>149</v>
      </c>
      <c r="K1234" s="1" t="n">
        <v>11</v>
      </c>
    </row>
    <row r="1235" customFormat="false" ht="14.25" hidden="true" customHeight="false" outlineLevel="0" collapsed="false">
      <c r="A1235" s="1" t="n">
        <v>19</v>
      </c>
      <c r="B1235" s="1" t="s">
        <v>128</v>
      </c>
      <c r="C1235" s="1" t="s">
        <v>424</v>
      </c>
      <c r="D1235" s="23" t="s">
        <v>192</v>
      </c>
      <c r="E1235" s="1" t="s">
        <v>193</v>
      </c>
      <c r="F1235" s="1" t="s">
        <v>120</v>
      </c>
      <c r="G1235" s="21" t="n">
        <f aca="false">K1235/3.1416</f>
        <v>2.54647313470843</v>
      </c>
      <c r="H1235" s="1" t="n">
        <v>2</v>
      </c>
      <c r="I1235" s="1" t="s">
        <v>129</v>
      </c>
      <c r="J1235" s="1" t="s">
        <v>149</v>
      </c>
      <c r="K1235" s="1" t="n">
        <v>8</v>
      </c>
    </row>
    <row r="1236" customFormat="false" ht="14.25" hidden="true" customHeight="false" outlineLevel="0" collapsed="false">
      <c r="A1236" s="1" t="n">
        <v>21</v>
      </c>
      <c r="B1236" s="1" t="s">
        <v>135</v>
      </c>
      <c r="C1236" s="1" t="s">
        <v>424</v>
      </c>
      <c r="D1236" s="23" t="s">
        <v>181</v>
      </c>
      <c r="E1236" s="1" t="s">
        <v>182</v>
      </c>
      <c r="F1236" s="1" t="s">
        <v>197</v>
      </c>
      <c r="G1236" s="21" t="n">
        <f aca="false">K1236/3.1416</f>
        <v>21.3267125031831</v>
      </c>
      <c r="H1236" s="1" t="n">
        <v>15</v>
      </c>
      <c r="I1236" s="1" t="s">
        <v>129</v>
      </c>
      <c r="J1236" s="1" t="s">
        <v>149</v>
      </c>
      <c r="K1236" s="1" t="n">
        <v>67</v>
      </c>
    </row>
    <row r="1237" customFormat="false" ht="14.25" hidden="true" customHeight="false" outlineLevel="0" collapsed="false">
      <c r="A1237" s="1" t="n">
        <v>22</v>
      </c>
      <c r="B1237" s="1" t="s">
        <v>135</v>
      </c>
      <c r="C1237" s="1" t="s">
        <v>424</v>
      </c>
      <c r="D1237" s="23"/>
      <c r="G1237" s="21" t="n">
        <f aca="false">K1237/3.1416</f>
        <v>3.18309141838554</v>
      </c>
      <c r="H1237" s="1" t="n">
        <v>5</v>
      </c>
      <c r="I1237" s="1" t="s">
        <v>134</v>
      </c>
      <c r="J1237" s="1" t="s">
        <v>149</v>
      </c>
      <c r="K1237" s="1" t="n">
        <v>10</v>
      </c>
    </row>
    <row r="1238" customFormat="false" ht="14.25" hidden="true" customHeight="false" outlineLevel="0" collapsed="false">
      <c r="A1238" s="1" t="n">
        <v>22</v>
      </c>
      <c r="B1238" s="1" t="s">
        <v>135</v>
      </c>
      <c r="C1238" s="1" t="s">
        <v>424</v>
      </c>
      <c r="D1238" s="23"/>
      <c r="G1238" s="21" t="n">
        <f aca="false">K1238/3.1416</f>
        <v>2.86478227654698</v>
      </c>
      <c r="H1238" s="1" t="n">
        <v>2.5</v>
      </c>
      <c r="I1238" s="1" t="s">
        <v>129</v>
      </c>
      <c r="J1238" s="1" t="s">
        <v>149</v>
      </c>
      <c r="K1238" s="1" t="n">
        <v>9</v>
      </c>
    </row>
    <row r="1239" customFormat="false" ht="14.25" hidden="true" customHeight="false" outlineLevel="0" collapsed="false">
      <c r="A1239" s="1" t="n">
        <v>27</v>
      </c>
      <c r="B1239" s="1" t="s">
        <v>82</v>
      </c>
      <c r="C1239" s="1" t="s">
        <v>424</v>
      </c>
      <c r="D1239" s="23" t="s">
        <v>181</v>
      </c>
      <c r="E1239" s="1" t="s">
        <v>182</v>
      </c>
      <c r="F1239" s="1" t="s">
        <v>197</v>
      </c>
      <c r="G1239" s="21" t="n">
        <f aca="false">K1239/3.1416</f>
        <v>5.72956455309397</v>
      </c>
      <c r="H1239" s="1" t="n">
        <v>10</v>
      </c>
      <c r="I1239" s="1" t="s">
        <v>129</v>
      </c>
      <c r="J1239" s="1" t="s">
        <v>149</v>
      </c>
      <c r="K1239" s="1" t="n">
        <v>18</v>
      </c>
    </row>
    <row r="1240" customFormat="false" ht="14.25" hidden="true" customHeight="false" outlineLevel="0" collapsed="false">
      <c r="A1240" s="1" t="n">
        <v>27</v>
      </c>
      <c r="B1240" s="1" t="s">
        <v>82</v>
      </c>
      <c r="C1240" s="1" t="s">
        <v>424</v>
      </c>
      <c r="D1240" s="23" t="s">
        <v>181</v>
      </c>
      <c r="E1240" s="1" t="s">
        <v>182</v>
      </c>
      <c r="F1240" s="1" t="s">
        <v>197</v>
      </c>
      <c r="G1240" s="21" t="n">
        <f aca="false">K1240/3.1416</f>
        <v>3.18309141838554</v>
      </c>
      <c r="H1240" s="1" t="n">
        <v>5</v>
      </c>
      <c r="I1240" s="1" t="s">
        <v>129</v>
      </c>
      <c r="J1240" s="1" t="s">
        <v>149</v>
      </c>
      <c r="K1240" s="1" t="n">
        <v>10</v>
      </c>
    </row>
    <row r="1241" customFormat="false" ht="14.25" hidden="true" customHeight="false" outlineLevel="0" collapsed="false">
      <c r="A1241" s="1" t="n">
        <v>28</v>
      </c>
      <c r="B1241" s="1" t="s">
        <v>82</v>
      </c>
      <c r="C1241" s="1" t="s">
        <v>424</v>
      </c>
      <c r="D1241" s="23"/>
      <c r="G1241" s="21" t="n">
        <f aca="false">K1241/3.1416</f>
        <v>5.09294626941686</v>
      </c>
      <c r="H1241" s="1" t="n">
        <v>8</v>
      </c>
      <c r="I1241" s="1" t="s">
        <v>129</v>
      </c>
      <c r="J1241" s="1" t="s">
        <v>149</v>
      </c>
      <c r="K1241" s="1" t="n">
        <v>16</v>
      </c>
    </row>
    <row r="1242" customFormat="false" ht="14.25" hidden="true" customHeight="false" outlineLevel="0" collapsed="false">
      <c r="A1242" s="1" t="n">
        <v>28</v>
      </c>
      <c r="B1242" s="1" t="s">
        <v>82</v>
      </c>
      <c r="C1242" s="1" t="s">
        <v>424</v>
      </c>
      <c r="D1242" s="23"/>
      <c r="G1242" s="21" t="n">
        <f aca="false">K1242/3.1416</f>
        <v>7.95772854596384</v>
      </c>
      <c r="H1242" s="1" t="n">
        <v>10</v>
      </c>
      <c r="I1242" s="1" t="s">
        <v>129</v>
      </c>
      <c r="J1242" s="1" t="s">
        <v>149</v>
      </c>
      <c r="K1242" s="1" t="n">
        <v>25</v>
      </c>
    </row>
    <row r="1243" customFormat="false" ht="14.25" hidden="true" customHeight="false" outlineLevel="0" collapsed="false">
      <c r="A1243" s="1" t="n">
        <v>29</v>
      </c>
      <c r="B1243" s="1" t="s">
        <v>131</v>
      </c>
      <c r="C1243" s="1" t="s">
        <v>424</v>
      </c>
      <c r="D1243" s="23" t="s">
        <v>181</v>
      </c>
      <c r="E1243" s="1" t="s">
        <v>182</v>
      </c>
      <c r="F1243" s="1" t="s">
        <v>197</v>
      </c>
      <c r="G1243" s="21" t="n">
        <f aca="false">K1243/3.1416</f>
        <v>2.54647313470843</v>
      </c>
      <c r="H1243" s="1" t="n">
        <v>4</v>
      </c>
      <c r="I1243" s="1" t="s">
        <v>129</v>
      </c>
      <c r="J1243" s="1" t="s">
        <v>149</v>
      </c>
      <c r="K1243" s="1" t="n">
        <v>8</v>
      </c>
    </row>
    <row r="1244" customFormat="false" ht="14.25" hidden="true" customHeight="false" outlineLevel="0" collapsed="false">
      <c r="A1244" s="1" t="n">
        <v>29</v>
      </c>
      <c r="B1244" s="1" t="s">
        <v>131</v>
      </c>
      <c r="C1244" s="1" t="s">
        <v>424</v>
      </c>
      <c r="D1244" s="23" t="s">
        <v>181</v>
      </c>
      <c r="E1244" s="1" t="s">
        <v>182</v>
      </c>
      <c r="F1244" s="1" t="s">
        <v>197</v>
      </c>
      <c r="G1244" s="21" t="n">
        <f aca="false">K1244/3.1416</f>
        <v>5.41125541125541</v>
      </c>
      <c r="H1244" s="1" t="n">
        <v>10</v>
      </c>
      <c r="I1244" s="1" t="s">
        <v>129</v>
      </c>
      <c r="J1244" s="1" t="s">
        <v>149</v>
      </c>
      <c r="K1244" s="1" t="n">
        <v>17</v>
      </c>
    </row>
    <row r="1245" customFormat="false" ht="14.25" hidden="true" customHeight="false" outlineLevel="0" collapsed="false">
      <c r="A1245" s="1" t="n">
        <v>29</v>
      </c>
      <c r="B1245" s="1" t="s">
        <v>131</v>
      </c>
      <c r="C1245" s="1" t="s">
        <v>424</v>
      </c>
      <c r="D1245" s="23" t="s">
        <v>181</v>
      </c>
      <c r="E1245" s="1" t="s">
        <v>182</v>
      </c>
      <c r="F1245" s="1" t="s">
        <v>197</v>
      </c>
      <c r="G1245" s="21" t="n">
        <f aca="false">K1245/3.1416</f>
        <v>2.54647313470843</v>
      </c>
      <c r="H1245" s="1" t="n">
        <v>3</v>
      </c>
      <c r="I1245" s="1" t="s">
        <v>129</v>
      </c>
      <c r="J1245" s="1" t="s">
        <v>149</v>
      </c>
      <c r="K1245" s="1" t="n">
        <v>8</v>
      </c>
    </row>
    <row r="1246" customFormat="false" ht="14.25" hidden="true" customHeight="false" outlineLevel="0" collapsed="false">
      <c r="A1246" s="1" t="n">
        <v>30</v>
      </c>
      <c r="B1246" s="1" t="s">
        <v>131</v>
      </c>
      <c r="C1246" s="1" t="s">
        <v>424</v>
      </c>
      <c r="D1246" s="23" t="s">
        <v>181</v>
      </c>
      <c r="E1246" s="1" t="s">
        <v>182</v>
      </c>
      <c r="F1246" s="1" t="s">
        <v>197</v>
      </c>
      <c r="G1246" s="21" t="n">
        <f aca="false">K1246/3.1416</f>
        <v>2.54647313470843</v>
      </c>
      <c r="H1246" s="1" t="n">
        <v>3</v>
      </c>
      <c r="I1246" s="1" t="s">
        <v>129</v>
      </c>
      <c r="J1246" s="1" t="s">
        <v>149</v>
      </c>
      <c r="K1246" s="1" t="n">
        <v>8</v>
      </c>
    </row>
    <row r="1247" customFormat="false" ht="14.25" hidden="true" customHeight="false" outlineLevel="0" collapsed="false">
      <c r="A1247" s="1" t="n">
        <v>30</v>
      </c>
      <c r="B1247" s="1" t="s">
        <v>131</v>
      </c>
      <c r="C1247" s="1" t="s">
        <v>424</v>
      </c>
      <c r="D1247" s="23" t="s">
        <v>181</v>
      </c>
      <c r="E1247" s="1" t="s">
        <v>182</v>
      </c>
      <c r="F1247" s="1" t="s">
        <v>197</v>
      </c>
      <c r="G1247" s="21" t="n">
        <f aca="false">K1247/3.1416</f>
        <v>2.54647313470843</v>
      </c>
      <c r="H1247" s="1" t="n">
        <v>4</v>
      </c>
      <c r="I1247" s="1" t="s">
        <v>129</v>
      </c>
      <c r="J1247" s="1" t="s">
        <v>149</v>
      </c>
      <c r="K1247" s="1" t="n">
        <v>8</v>
      </c>
    </row>
    <row r="1248" customFormat="false" ht="14.25" hidden="true" customHeight="false" outlineLevel="0" collapsed="false">
      <c r="A1248" s="1" t="n">
        <v>30</v>
      </c>
      <c r="B1248" s="1" t="s">
        <v>131</v>
      </c>
      <c r="C1248" s="1" t="s">
        <v>424</v>
      </c>
      <c r="D1248" s="23" t="s">
        <v>181</v>
      </c>
      <c r="E1248" s="1" t="s">
        <v>182</v>
      </c>
      <c r="F1248" s="1" t="s">
        <v>197</v>
      </c>
      <c r="G1248" s="21" t="n">
        <f aca="false">K1248/3.1416</f>
        <v>2.54647313470843</v>
      </c>
      <c r="H1248" s="1" t="n">
        <v>5</v>
      </c>
      <c r="I1248" s="1" t="s">
        <v>129</v>
      </c>
      <c r="J1248" s="1" t="s">
        <v>149</v>
      </c>
      <c r="K1248" s="1" t="n">
        <v>8</v>
      </c>
    </row>
    <row r="1249" customFormat="false" ht="14.25" hidden="true" customHeight="false" outlineLevel="0" collapsed="false">
      <c r="A1249" s="1" t="n">
        <v>31</v>
      </c>
      <c r="B1249" s="1" t="s">
        <v>131</v>
      </c>
      <c r="C1249" s="1" t="s">
        <v>424</v>
      </c>
      <c r="D1249" s="23" t="s">
        <v>181</v>
      </c>
      <c r="E1249" s="1" t="s">
        <v>182</v>
      </c>
      <c r="F1249" s="1" t="s">
        <v>197</v>
      </c>
      <c r="G1249" s="21" t="n">
        <f aca="false">K1249/3.1416</f>
        <v>4.7746371275783</v>
      </c>
      <c r="H1249" s="1" t="n">
        <v>6</v>
      </c>
      <c r="I1249" s="1" t="s">
        <v>127</v>
      </c>
      <c r="J1249" s="1" t="s">
        <v>149</v>
      </c>
      <c r="K1249" s="1" t="n">
        <v>15</v>
      </c>
    </row>
    <row r="1250" customFormat="false" ht="14.25" hidden="true" customHeight="false" outlineLevel="0" collapsed="false">
      <c r="A1250" s="1" t="n">
        <v>31</v>
      </c>
      <c r="B1250" s="1" t="s">
        <v>131</v>
      </c>
      <c r="C1250" s="1" t="s">
        <v>424</v>
      </c>
      <c r="D1250" s="23" t="s">
        <v>181</v>
      </c>
      <c r="E1250" s="1" t="s">
        <v>182</v>
      </c>
      <c r="F1250" s="1" t="s">
        <v>197</v>
      </c>
      <c r="G1250" s="21" t="n">
        <f aca="false">K1250/3.1416</f>
        <v>2.54647313470843</v>
      </c>
      <c r="H1250" s="1" t="n">
        <v>7</v>
      </c>
      <c r="I1250" s="1" t="s">
        <v>127</v>
      </c>
      <c r="J1250" s="1" t="s">
        <v>149</v>
      </c>
      <c r="K1250" s="1" t="n">
        <v>8</v>
      </c>
    </row>
    <row r="1251" customFormat="false" ht="14.25" hidden="true" customHeight="false" outlineLevel="0" collapsed="false">
      <c r="A1251" s="1" t="n">
        <v>3</v>
      </c>
      <c r="B1251" s="1" t="s">
        <v>82</v>
      </c>
      <c r="C1251" s="1" t="s">
        <v>424</v>
      </c>
      <c r="D1251" s="23"/>
      <c r="E1251" s="1" t="s">
        <v>289</v>
      </c>
      <c r="F1251" s="1" t="s">
        <v>120</v>
      </c>
      <c r="G1251" s="21" t="n">
        <f aca="false">ROUND(K1251/PI(),0)</f>
        <v>4</v>
      </c>
      <c r="H1251" s="1" t="n">
        <v>4</v>
      </c>
      <c r="I1251" s="1" t="s">
        <v>129</v>
      </c>
      <c r="J1251" s="1" t="s">
        <v>162</v>
      </c>
      <c r="K1251" s="1" t="n">
        <v>11</v>
      </c>
    </row>
    <row r="1252" customFormat="false" ht="14.25" hidden="true" customHeight="false" outlineLevel="0" collapsed="false">
      <c r="A1252" s="1" t="n">
        <v>4</v>
      </c>
      <c r="B1252" s="1" t="s">
        <v>82</v>
      </c>
      <c r="C1252" s="1" t="s">
        <v>424</v>
      </c>
      <c r="D1252" s="23" t="s">
        <v>181</v>
      </c>
      <c r="E1252" s="1" t="s">
        <v>182</v>
      </c>
      <c r="F1252" s="1" t="s">
        <v>138</v>
      </c>
      <c r="G1252" s="21" t="n">
        <f aca="false">ROUND(K1252/PI(),0)</f>
        <v>5</v>
      </c>
      <c r="H1252" s="1" t="n">
        <v>7</v>
      </c>
      <c r="I1252" s="1" t="s">
        <v>129</v>
      </c>
      <c r="J1252" s="1" t="s">
        <v>162</v>
      </c>
      <c r="K1252" s="1" t="n">
        <v>15</v>
      </c>
    </row>
    <row r="1253" customFormat="false" ht="14.25" hidden="true" customHeight="false" outlineLevel="0" collapsed="false">
      <c r="A1253" s="1" t="n">
        <v>5</v>
      </c>
      <c r="B1253" s="1" t="s">
        <v>92</v>
      </c>
      <c r="C1253" s="1" t="s">
        <v>424</v>
      </c>
      <c r="D1253" s="23"/>
      <c r="G1253" s="21" t="n">
        <f aca="false">ROUND(K1253/PI(),0)</f>
        <v>3</v>
      </c>
      <c r="H1253" s="1" t="n">
        <v>5</v>
      </c>
      <c r="I1253" s="1" t="s">
        <v>129</v>
      </c>
      <c r="J1253" s="1" t="s">
        <v>162</v>
      </c>
      <c r="K1253" s="1" t="n">
        <v>8.5</v>
      </c>
    </row>
    <row r="1254" customFormat="false" ht="14.25" hidden="true" customHeight="false" outlineLevel="0" collapsed="false">
      <c r="A1254" s="1" t="n">
        <v>5</v>
      </c>
      <c r="B1254" s="1" t="s">
        <v>92</v>
      </c>
      <c r="C1254" s="1" t="s">
        <v>424</v>
      </c>
      <c r="D1254" s="23"/>
      <c r="G1254" s="21" t="n">
        <f aca="false">ROUND(K1254/PI(),0)</f>
        <v>14</v>
      </c>
      <c r="H1254" s="1" t="n">
        <v>12</v>
      </c>
      <c r="I1254" s="1" t="s">
        <v>129</v>
      </c>
      <c r="J1254" s="1" t="s">
        <v>162</v>
      </c>
      <c r="K1254" s="1" t="n">
        <v>43</v>
      </c>
    </row>
    <row r="1255" customFormat="false" ht="14.25" hidden="true" customHeight="false" outlineLevel="0" collapsed="false">
      <c r="A1255" s="1" t="n">
        <v>6</v>
      </c>
      <c r="B1255" s="1" t="s">
        <v>92</v>
      </c>
      <c r="C1255" s="1" t="s">
        <v>424</v>
      </c>
      <c r="D1255" s="23" t="s">
        <v>348</v>
      </c>
      <c r="E1255" s="1" t="s">
        <v>210</v>
      </c>
      <c r="F1255" s="1" t="s">
        <v>138</v>
      </c>
      <c r="G1255" s="21" t="n">
        <f aca="false">ROUND(K1255/PI(),0)</f>
        <v>9</v>
      </c>
      <c r="H1255" s="1" t="n">
        <v>8</v>
      </c>
      <c r="I1255" s="1" t="s">
        <v>129</v>
      </c>
      <c r="J1255" s="1" t="s">
        <v>162</v>
      </c>
      <c r="K1255" s="1" t="n">
        <v>28</v>
      </c>
    </row>
    <row r="1256" customFormat="false" ht="14.25" hidden="true" customHeight="false" outlineLevel="0" collapsed="false">
      <c r="A1256" s="1" t="n">
        <v>6</v>
      </c>
      <c r="B1256" s="1" t="s">
        <v>92</v>
      </c>
      <c r="C1256" s="1" t="s">
        <v>424</v>
      </c>
      <c r="D1256" s="23" t="s">
        <v>348</v>
      </c>
      <c r="E1256" s="1" t="s">
        <v>210</v>
      </c>
      <c r="F1256" s="1" t="s">
        <v>120</v>
      </c>
      <c r="G1256" s="21" t="n">
        <f aca="false">ROUND(K1256/PI(),0)</f>
        <v>5</v>
      </c>
      <c r="H1256" s="1" t="n">
        <v>6</v>
      </c>
      <c r="I1256" s="1" t="s">
        <v>127</v>
      </c>
      <c r="J1256" s="1" t="s">
        <v>162</v>
      </c>
      <c r="K1256" s="1" t="n">
        <v>17</v>
      </c>
    </row>
    <row r="1257" customFormat="false" ht="14.25" hidden="true" customHeight="false" outlineLevel="0" collapsed="false">
      <c r="A1257" s="1" t="n">
        <v>8</v>
      </c>
      <c r="B1257" s="1" t="s">
        <v>101</v>
      </c>
      <c r="C1257" s="1" t="s">
        <v>424</v>
      </c>
      <c r="D1257" s="23" t="s">
        <v>348</v>
      </c>
      <c r="E1257" s="1" t="s">
        <v>210</v>
      </c>
      <c r="F1257" s="1" t="s">
        <v>120</v>
      </c>
      <c r="G1257" s="21" t="n">
        <f aca="false">ROUND(K1257/PI(),0)</f>
        <v>3</v>
      </c>
      <c r="H1257" s="1" t="n">
        <v>5</v>
      </c>
      <c r="I1257" s="1" t="s">
        <v>127</v>
      </c>
      <c r="J1257" s="1" t="s">
        <v>149</v>
      </c>
      <c r="K1257" s="1" t="n">
        <v>9</v>
      </c>
    </row>
    <row r="1258" customFormat="false" ht="14.25" hidden="true" customHeight="false" outlineLevel="0" collapsed="false">
      <c r="A1258" s="1" t="n">
        <v>1</v>
      </c>
      <c r="B1258" s="1" t="s">
        <v>72</v>
      </c>
      <c r="C1258" s="1" t="s">
        <v>427</v>
      </c>
      <c r="D1258" s="23"/>
      <c r="G1258" s="21" t="n">
        <f aca="false">ROUND(K1258/PI(),0)</f>
        <v>8</v>
      </c>
      <c r="H1258" s="1" t="n">
        <v>10</v>
      </c>
      <c r="I1258" s="1" t="s">
        <v>127</v>
      </c>
      <c r="J1258" s="1" t="s">
        <v>162</v>
      </c>
      <c r="K1258" s="1" t="n">
        <v>26</v>
      </c>
    </row>
    <row r="1259" customFormat="false" ht="14.25" hidden="true" customHeight="false" outlineLevel="0" collapsed="false">
      <c r="A1259" s="1" t="n">
        <v>18</v>
      </c>
      <c r="B1259" s="1" t="s">
        <v>128</v>
      </c>
      <c r="C1259" s="1" t="s">
        <v>428</v>
      </c>
      <c r="D1259" s="23" t="s">
        <v>429</v>
      </c>
      <c r="E1259" s="1" t="s">
        <v>167</v>
      </c>
      <c r="F1259" s="1" t="s">
        <v>138</v>
      </c>
      <c r="G1259" s="21" t="n">
        <f aca="false">K1259/3.1416</f>
        <v>3.50140056022409</v>
      </c>
      <c r="H1259" s="1" t="n">
        <v>8</v>
      </c>
      <c r="I1259" s="1" t="s">
        <v>127</v>
      </c>
      <c r="J1259" s="1" t="s">
        <v>271</v>
      </c>
      <c r="K1259" s="1" t="n">
        <v>11</v>
      </c>
    </row>
    <row r="1260" customFormat="false" ht="14.25" hidden="true" customHeight="false" outlineLevel="0" collapsed="false">
      <c r="A1260" s="1" t="n">
        <v>22</v>
      </c>
      <c r="B1260" s="1" t="s">
        <v>135</v>
      </c>
      <c r="C1260" s="1" t="s">
        <v>428</v>
      </c>
      <c r="D1260" s="23" t="s">
        <v>298</v>
      </c>
      <c r="E1260" s="1" t="s">
        <v>299</v>
      </c>
      <c r="F1260" s="1" t="s">
        <v>138</v>
      </c>
      <c r="G1260" s="21" t="n">
        <f aca="false">K1260/3.1416</f>
        <v>3.18309141838554</v>
      </c>
      <c r="H1260" s="1" t="n">
        <v>5</v>
      </c>
      <c r="I1260" s="1" t="s">
        <v>127</v>
      </c>
      <c r="J1260" s="1" t="s">
        <v>271</v>
      </c>
      <c r="K1260" s="1" t="n">
        <v>10</v>
      </c>
    </row>
    <row r="1261" customFormat="false" ht="14.25" hidden="true" customHeight="false" outlineLevel="0" collapsed="false">
      <c r="A1261" s="1" t="n">
        <v>24</v>
      </c>
      <c r="B1261" s="1" t="s">
        <v>135</v>
      </c>
      <c r="C1261" s="1" t="s">
        <v>428</v>
      </c>
      <c r="D1261" s="23" t="s">
        <v>298</v>
      </c>
      <c r="E1261" s="1" t="s">
        <v>299</v>
      </c>
      <c r="F1261" s="1" t="s">
        <v>138</v>
      </c>
      <c r="G1261" s="21" t="n">
        <f aca="false">K1261/3.1416</f>
        <v>2.54647313470843</v>
      </c>
      <c r="H1261" s="1" t="n">
        <v>3</v>
      </c>
      <c r="I1261" s="1" t="s">
        <v>127</v>
      </c>
      <c r="J1261" s="1" t="s">
        <v>271</v>
      </c>
      <c r="K1261" s="1" t="n">
        <v>8</v>
      </c>
    </row>
    <row r="1262" customFormat="false" ht="14.25" hidden="true" customHeight="false" outlineLevel="0" collapsed="false">
      <c r="A1262" s="1" t="n">
        <v>24</v>
      </c>
      <c r="B1262" s="1" t="s">
        <v>135</v>
      </c>
      <c r="C1262" s="1" t="s">
        <v>428</v>
      </c>
      <c r="D1262" s="23" t="s">
        <v>298</v>
      </c>
      <c r="E1262" s="1" t="s">
        <v>299</v>
      </c>
      <c r="F1262" s="1" t="s">
        <v>138</v>
      </c>
      <c r="G1262" s="21" t="n">
        <f aca="false">K1262/3.1416</f>
        <v>2.54647313470843</v>
      </c>
      <c r="H1262" s="1" t="n">
        <v>4</v>
      </c>
      <c r="I1262" s="1" t="s">
        <v>129</v>
      </c>
      <c r="J1262" s="1" t="s">
        <v>271</v>
      </c>
      <c r="K1262" s="1" t="n">
        <v>8</v>
      </c>
    </row>
    <row r="1263" customFormat="false" ht="14.25" hidden="true" customHeight="false" outlineLevel="0" collapsed="false">
      <c r="A1263" s="1" t="n">
        <v>27</v>
      </c>
      <c r="B1263" s="1" t="s">
        <v>82</v>
      </c>
      <c r="C1263" s="1" t="s">
        <v>428</v>
      </c>
      <c r="D1263" s="23" t="s">
        <v>298</v>
      </c>
      <c r="E1263" s="1" t="s">
        <v>299</v>
      </c>
      <c r="F1263" s="1" t="s">
        <v>138</v>
      </c>
      <c r="G1263" s="21" t="n">
        <f aca="false">K1263/3.1416</f>
        <v>2.54647313470843</v>
      </c>
      <c r="H1263" s="1" t="n">
        <v>3</v>
      </c>
      <c r="I1263" s="1" t="s">
        <v>129</v>
      </c>
      <c r="J1263" s="1" t="s">
        <v>271</v>
      </c>
      <c r="K1263" s="1" t="n">
        <v>8</v>
      </c>
    </row>
    <row r="1264" customFormat="false" ht="14.25" hidden="true" customHeight="false" outlineLevel="0" collapsed="false">
      <c r="A1264" s="1" t="n">
        <v>31</v>
      </c>
      <c r="B1264" s="1" t="s">
        <v>131</v>
      </c>
      <c r="C1264" s="1" t="s">
        <v>428</v>
      </c>
      <c r="D1264" s="23" t="s">
        <v>298</v>
      </c>
      <c r="E1264" s="1" t="s">
        <v>299</v>
      </c>
      <c r="F1264" s="1" t="s">
        <v>138</v>
      </c>
      <c r="G1264" s="21" t="n">
        <f aca="false">K1264/3.1416</f>
        <v>2.54647313470843</v>
      </c>
      <c r="H1264" s="1" t="n">
        <v>3</v>
      </c>
      <c r="I1264" s="1" t="s">
        <v>127</v>
      </c>
      <c r="J1264" s="1" t="s">
        <v>271</v>
      </c>
      <c r="K1264" s="1" t="n">
        <v>8</v>
      </c>
    </row>
    <row r="1265" customFormat="false" ht="14.25" hidden="true" customHeight="false" outlineLevel="0" collapsed="false">
      <c r="A1265" s="1" t="n">
        <v>29</v>
      </c>
      <c r="B1265" s="1" t="s">
        <v>131</v>
      </c>
      <c r="C1265" s="1" t="s">
        <v>430</v>
      </c>
      <c r="D1265" s="23" t="s">
        <v>235</v>
      </c>
      <c r="E1265" s="1" t="s">
        <v>156</v>
      </c>
      <c r="F1265" s="1" t="s">
        <v>138</v>
      </c>
      <c r="G1265" s="21" t="n">
        <f aca="false">K1265/3.1416</f>
        <v>2.54647313470843</v>
      </c>
      <c r="H1265" s="1" t="n">
        <v>4</v>
      </c>
      <c r="I1265" s="1" t="s">
        <v>129</v>
      </c>
      <c r="J1265" s="1" t="s">
        <v>149</v>
      </c>
      <c r="K1265" s="1" t="n">
        <v>8</v>
      </c>
    </row>
    <row r="1266" customFormat="false" ht="14.25" hidden="true" customHeight="false" outlineLevel="0" collapsed="false">
      <c r="A1266" s="1" t="n">
        <v>31</v>
      </c>
      <c r="B1266" s="1" t="s">
        <v>131</v>
      </c>
      <c r="C1266" s="1" t="s">
        <v>430</v>
      </c>
      <c r="D1266" s="23"/>
      <c r="G1266" s="21" t="n">
        <f aca="false">K1266/3.1416</f>
        <v>3.50140056022409</v>
      </c>
      <c r="H1266" s="1" t="n">
        <v>7</v>
      </c>
      <c r="I1266" s="1" t="s">
        <v>129</v>
      </c>
      <c r="J1266" s="1" t="s">
        <v>149</v>
      </c>
      <c r="K1266" s="1" t="n">
        <v>11</v>
      </c>
    </row>
    <row r="1267" customFormat="false" ht="14.25" hidden="true" customHeight="false" outlineLevel="0" collapsed="false">
      <c r="A1267" s="1" t="n">
        <v>8</v>
      </c>
      <c r="B1267" s="1" t="s">
        <v>101</v>
      </c>
      <c r="C1267" s="1" t="s">
        <v>431</v>
      </c>
      <c r="D1267" s="23" t="s">
        <v>274</v>
      </c>
      <c r="E1267" s="1" t="s">
        <v>275</v>
      </c>
      <c r="F1267" s="1" t="s">
        <v>120</v>
      </c>
      <c r="G1267" s="21" t="n">
        <f aca="false">ROUND(K1267/PI(),0)</f>
        <v>6</v>
      </c>
      <c r="H1267" s="1" t="n">
        <v>6</v>
      </c>
      <c r="I1267" s="1" t="s">
        <v>127</v>
      </c>
      <c r="J1267" s="1" t="s">
        <v>432</v>
      </c>
      <c r="K1267" s="1" t="n">
        <v>18</v>
      </c>
    </row>
    <row r="1268" customFormat="false" ht="14.25" hidden="true" customHeight="false" outlineLevel="0" collapsed="false">
      <c r="A1268" s="1" t="n">
        <v>11</v>
      </c>
      <c r="B1268" s="1" t="s">
        <v>82</v>
      </c>
      <c r="C1268" s="1" t="s">
        <v>433</v>
      </c>
      <c r="D1268" s="23"/>
      <c r="G1268" s="21" t="n">
        <f aca="false">K1268/3.1416</f>
        <v>3.18309141838554</v>
      </c>
      <c r="H1268" s="1" t="n">
        <v>6</v>
      </c>
      <c r="I1268" s="1" t="s">
        <v>129</v>
      </c>
      <c r="J1268" s="1" t="s">
        <v>130</v>
      </c>
      <c r="K1268" s="1" t="n">
        <v>10</v>
      </c>
    </row>
    <row r="1269" customFormat="false" ht="14.25" hidden="true" customHeight="false" outlineLevel="0" collapsed="false">
      <c r="A1269" s="1" t="n">
        <v>16</v>
      </c>
      <c r="B1269" s="1" t="s">
        <v>131</v>
      </c>
      <c r="C1269" s="1" t="s">
        <v>433</v>
      </c>
      <c r="D1269" s="23" t="s">
        <v>218</v>
      </c>
      <c r="E1269" s="1" t="s">
        <v>219</v>
      </c>
      <c r="F1269" s="1" t="s">
        <v>138</v>
      </c>
      <c r="G1269" s="21" t="n">
        <f aca="false">K1269/3.1416</f>
        <v>38.8337153043035</v>
      </c>
      <c r="H1269" s="1" t="n">
        <v>20</v>
      </c>
      <c r="I1269" s="1" t="s">
        <v>129</v>
      </c>
      <c r="J1269" s="1" t="s">
        <v>130</v>
      </c>
      <c r="K1269" s="1" t="n">
        <v>122</v>
      </c>
    </row>
    <row r="1270" customFormat="false" ht="14.25" hidden="true" customHeight="false" outlineLevel="0" collapsed="false">
      <c r="A1270" s="1" t="n">
        <v>19</v>
      </c>
      <c r="B1270" s="1" t="s">
        <v>128</v>
      </c>
      <c r="C1270" s="1" t="s">
        <v>433</v>
      </c>
      <c r="D1270" s="23" t="s">
        <v>218</v>
      </c>
      <c r="E1270" s="1" t="s">
        <v>219</v>
      </c>
      <c r="F1270" s="1" t="s">
        <v>138</v>
      </c>
      <c r="G1270" s="21" t="n">
        <f aca="false">K1270/3.1416</f>
        <v>5.41125541125541</v>
      </c>
      <c r="H1270" s="1" t="n">
        <v>5</v>
      </c>
      <c r="I1270" s="1" t="s">
        <v>129</v>
      </c>
      <c r="J1270" s="1" t="s">
        <v>130</v>
      </c>
      <c r="K1270" s="1" t="n">
        <v>17</v>
      </c>
    </row>
    <row r="1271" customFormat="false" ht="14.25" hidden="true" customHeight="false" outlineLevel="0" collapsed="false">
      <c r="A1271" s="1" t="n">
        <v>20</v>
      </c>
      <c r="B1271" s="1" t="s">
        <v>128</v>
      </c>
      <c r="C1271" s="1" t="s">
        <v>433</v>
      </c>
      <c r="D1271" s="23" t="s">
        <v>218</v>
      </c>
      <c r="E1271" s="1" t="s">
        <v>219</v>
      </c>
      <c r="F1271" s="1" t="s">
        <v>138</v>
      </c>
      <c r="G1271" s="21" t="n">
        <f aca="false">K1271/3.1416</f>
        <v>3.81970970206264</v>
      </c>
      <c r="H1271" s="1" t="n">
        <v>4</v>
      </c>
      <c r="I1271" s="1" t="s">
        <v>129</v>
      </c>
      <c r="J1271" s="1" t="s">
        <v>130</v>
      </c>
      <c r="K1271" s="1" t="n">
        <v>12</v>
      </c>
    </row>
    <row r="1272" customFormat="false" ht="14.25" hidden="true" customHeight="false" outlineLevel="0" collapsed="false">
      <c r="A1272" s="1" t="n">
        <v>20</v>
      </c>
      <c r="B1272" s="1" t="s">
        <v>128</v>
      </c>
      <c r="C1272" s="1" t="s">
        <v>433</v>
      </c>
      <c r="D1272" s="23" t="s">
        <v>218</v>
      </c>
      <c r="E1272" s="1" t="s">
        <v>219</v>
      </c>
      <c r="F1272" s="1" t="s">
        <v>138</v>
      </c>
      <c r="G1272" s="21" t="n">
        <f aca="false">K1272/3.1416</f>
        <v>4.45632798573975</v>
      </c>
      <c r="H1272" s="1" t="n">
        <v>6</v>
      </c>
      <c r="I1272" s="1" t="s">
        <v>129</v>
      </c>
      <c r="J1272" s="1" t="s">
        <v>130</v>
      </c>
      <c r="K1272" s="1" t="n">
        <v>14</v>
      </c>
    </row>
    <row r="1273" customFormat="false" ht="14.25" hidden="true" customHeight="false" outlineLevel="0" collapsed="false">
      <c r="A1273" s="1" t="n">
        <v>28</v>
      </c>
      <c r="B1273" s="1" t="s">
        <v>82</v>
      </c>
      <c r="C1273" s="1" t="s">
        <v>433</v>
      </c>
      <c r="D1273" s="23" t="s">
        <v>218</v>
      </c>
      <c r="E1273" s="1" t="s">
        <v>219</v>
      </c>
      <c r="F1273" s="1" t="s">
        <v>138</v>
      </c>
      <c r="G1273" s="21" t="n">
        <f aca="false">K1273/3.1416</f>
        <v>5.72956455309397</v>
      </c>
      <c r="H1273" s="1" t="n">
        <v>7</v>
      </c>
      <c r="I1273" s="1" t="s">
        <v>129</v>
      </c>
      <c r="J1273" s="1" t="s">
        <v>130</v>
      </c>
      <c r="K1273" s="1" t="n">
        <v>18</v>
      </c>
    </row>
    <row r="1274" customFormat="false" ht="14.25" hidden="true" customHeight="false" outlineLevel="0" collapsed="false">
      <c r="A1274" s="1" t="n">
        <v>12</v>
      </c>
      <c r="B1274" s="1" t="s">
        <v>128</v>
      </c>
      <c r="C1274" s="1" t="s">
        <v>434</v>
      </c>
      <c r="D1274" s="23" t="s">
        <v>218</v>
      </c>
      <c r="E1274" s="1" t="s">
        <v>219</v>
      </c>
      <c r="F1274" s="1" t="s">
        <v>138</v>
      </c>
      <c r="G1274" s="21" t="n">
        <f aca="false">K1274/3.1416</f>
        <v>7.95772854596384</v>
      </c>
      <c r="H1274" s="1" t="n">
        <v>6</v>
      </c>
      <c r="I1274" s="1" t="s">
        <v>129</v>
      </c>
      <c r="J1274" s="1" t="s">
        <v>130</v>
      </c>
      <c r="K1274" s="1" t="n">
        <v>25</v>
      </c>
    </row>
    <row r="1275" customFormat="false" ht="14.25" hidden="true" customHeight="false" outlineLevel="0" collapsed="false">
      <c r="A1275" s="1" t="n">
        <v>20</v>
      </c>
      <c r="B1275" s="1" t="s">
        <v>128</v>
      </c>
      <c r="C1275" s="1" t="s">
        <v>434</v>
      </c>
      <c r="D1275" s="23" t="s">
        <v>218</v>
      </c>
      <c r="E1275" s="1" t="s">
        <v>219</v>
      </c>
      <c r="F1275" s="1" t="s">
        <v>138</v>
      </c>
      <c r="G1275" s="21" t="n">
        <f aca="false">K1275/3.1416</f>
        <v>2.54647313470843</v>
      </c>
      <c r="H1275" s="1" t="n">
        <v>2</v>
      </c>
      <c r="I1275" s="1" t="s">
        <v>129</v>
      </c>
      <c r="J1275" s="1" t="s">
        <v>130</v>
      </c>
      <c r="K1275" s="1" t="n">
        <v>8</v>
      </c>
    </row>
    <row r="1276" customFormat="false" ht="14.25" hidden="true" customHeight="false" outlineLevel="0" collapsed="false">
      <c r="A1276" s="1" t="n">
        <v>22</v>
      </c>
      <c r="B1276" s="1" t="s">
        <v>135</v>
      </c>
      <c r="C1276" s="1" t="s">
        <v>434</v>
      </c>
      <c r="D1276" s="23" t="s">
        <v>287</v>
      </c>
      <c r="E1276" s="1" t="s">
        <v>157</v>
      </c>
      <c r="F1276" s="1" t="s">
        <v>138</v>
      </c>
      <c r="G1276" s="21" t="n">
        <f aca="false">K1276/3.1416</f>
        <v>2.54647313470843</v>
      </c>
      <c r="H1276" s="1" t="n">
        <v>2</v>
      </c>
      <c r="I1276" s="1" t="s">
        <v>127</v>
      </c>
      <c r="J1276" s="1" t="s">
        <v>130</v>
      </c>
      <c r="K1276" s="1" t="n">
        <v>8</v>
      </c>
    </row>
    <row r="1277" customFormat="false" ht="14.25" hidden="true" customHeight="false" outlineLevel="0" collapsed="false">
      <c r="A1277" s="1" t="n">
        <v>1</v>
      </c>
      <c r="B1277" s="1" t="s">
        <v>72</v>
      </c>
      <c r="C1277" s="1" t="s">
        <v>435</v>
      </c>
      <c r="D1277" s="23"/>
      <c r="G1277" s="21" t="n">
        <f aca="false">ROUND(K1277/PI(),0)</f>
        <v>3</v>
      </c>
      <c r="H1277" s="1" t="n">
        <v>4</v>
      </c>
      <c r="I1277" s="1" t="s">
        <v>127</v>
      </c>
      <c r="J1277" s="1" t="s">
        <v>152</v>
      </c>
      <c r="K1277" s="1" t="n">
        <v>9</v>
      </c>
    </row>
    <row r="1278" customFormat="false" ht="14.25" hidden="true" customHeight="false" outlineLevel="0" collapsed="false">
      <c r="A1278" s="1" t="n">
        <v>1</v>
      </c>
      <c r="B1278" s="1" t="s">
        <v>72</v>
      </c>
      <c r="C1278" s="1" t="s">
        <v>435</v>
      </c>
      <c r="D1278" s="23"/>
      <c r="G1278" s="21" t="n">
        <f aca="false">ROUND(K1278/PI(),0)</f>
        <v>7</v>
      </c>
      <c r="H1278" s="1" t="n">
        <v>10</v>
      </c>
      <c r="I1278" s="1" t="s">
        <v>129</v>
      </c>
      <c r="J1278" s="1" t="s">
        <v>152</v>
      </c>
      <c r="K1278" s="1" t="n">
        <v>22</v>
      </c>
    </row>
    <row r="1279" customFormat="false" ht="14.25" hidden="true" customHeight="false" outlineLevel="0" collapsed="false">
      <c r="A1279" s="1" t="n">
        <v>4</v>
      </c>
      <c r="B1279" s="1" t="s">
        <v>82</v>
      </c>
      <c r="C1279" s="1" t="s">
        <v>435</v>
      </c>
      <c r="D1279" s="23" t="s">
        <v>225</v>
      </c>
      <c r="E1279" s="1" t="s">
        <v>186</v>
      </c>
      <c r="F1279" s="1" t="s">
        <v>138</v>
      </c>
      <c r="G1279" s="21" t="n">
        <f aca="false">ROUND(K1279/PI(),0)</f>
        <v>6</v>
      </c>
      <c r="H1279" s="1" t="n">
        <v>7</v>
      </c>
      <c r="I1279" s="1" t="s">
        <v>129</v>
      </c>
      <c r="J1279" s="1" t="s">
        <v>436</v>
      </c>
      <c r="K1279" s="1" t="n">
        <v>19</v>
      </c>
    </row>
    <row r="1280" customFormat="false" ht="14.25" hidden="true" customHeight="false" outlineLevel="0" collapsed="false">
      <c r="A1280" s="1" t="n">
        <v>5</v>
      </c>
      <c r="B1280" s="1" t="s">
        <v>92</v>
      </c>
      <c r="C1280" s="1" t="s">
        <v>435</v>
      </c>
      <c r="D1280" s="23"/>
      <c r="G1280" s="21" t="n">
        <f aca="false">ROUND(K1280/PI(),0)</f>
        <v>3</v>
      </c>
      <c r="H1280" s="1" t="n">
        <v>5</v>
      </c>
      <c r="I1280" s="1" t="s">
        <v>127</v>
      </c>
      <c r="J1280" s="1" t="s">
        <v>152</v>
      </c>
      <c r="K1280" s="1" t="n">
        <v>9</v>
      </c>
    </row>
    <row r="1281" customFormat="false" ht="14.25" hidden="false" customHeight="false" outlineLevel="0" collapsed="false">
      <c r="A1281" s="1" t="n">
        <v>10</v>
      </c>
      <c r="B1281" s="1" t="s">
        <v>82</v>
      </c>
      <c r="C1281" s="1" t="s">
        <v>437</v>
      </c>
      <c r="D1281" s="23"/>
      <c r="G1281" s="21" t="n">
        <f aca="false">K1281/3.1416</f>
        <v>6.04787369493252</v>
      </c>
      <c r="H1281" s="1" t="n">
        <v>8</v>
      </c>
      <c r="I1281" s="1" t="s">
        <v>129</v>
      </c>
      <c r="J1281" s="1" t="s">
        <v>130</v>
      </c>
      <c r="K1281" s="1" t="n">
        <v>19</v>
      </c>
    </row>
    <row r="1282" customFormat="false" ht="14.25" hidden="true" customHeight="false" outlineLevel="0" collapsed="false">
      <c r="A1282" s="1" t="n">
        <v>21</v>
      </c>
      <c r="B1282" s="1" t="s">
        <v>135</v>
      </c>
      <c r="C1282" s="1" t="s">
        <v>438</v>
      </c>
      <c r="D1282" s="23" t="s">
        <v>439</v>
      </c>
      <c r="E1282" s="1" t="s">
        <v>440</v>
      </c>
      <c r="F1282" s="1" t="s">
        <v>138</v>
      </c>
      <c r="G1282" s="21" t="n">
        <f aca="false">K1282/3.1416</f>
        <v>2.54647313470843</v>
      </c>
      <c r="H1282" s="1" t="n">
        <v>2.5</v>
      </c>
      <c r="I1282" s="1" t="s">
        <v>127</v>
      </c>
      <c r="J1282" s="1" t="s">
        <v>74</v>
      </c>
      <c r="K1282" s="1" t="n">
        <v>8</v>
      </c>
    </row>
    <row r="1283" customFormat="false" ht="14.25" hidden="true" customHeight="false" outlineLevel="0" collapsed="false">
      <c r="A1283" s="1" t="n">
        <v>21</v>
      </c>
      <c r="B1283" s="1" t="s">
        <v>135</v>
      </c>
      <c r="C1283" s="1" t="s">
        <v>438</v>
      </c>
      <c r="D1283" s="23" t="s">
        <v>439</v>
      </c>
      <c r="E1283" s="1" t="s">
        <v>440</v>
      </c>
      <c r="F1283" s="1" t="s">
        <v>138</v>
      </c>
      <c r="G1283" s="21" t="n">
        <f aca="false">K1283/3.1416</f>
        <v>2.54647313470843</v>
      </c>
      <c r="H1283" s="1" t="n">
        <v>1</v>
      </c>
      <c r="I1283" s="1" t="s">
        <v>129</v>
      </c>
      <c r="J1283" s="1" t="s">
        <v>74</v>
      </c>
      <c r="K1283" s="1" t="n">
        <v>8</v>
      </c>
    </row>
    <row r="1284" customFormat="false" ht="14.25" hidden="true" customHeight="false" outlineLevel="0" collapsed="false">
      <c r="A1284" s="1" t="n">
        <v>7</v>
      </c>
      <c r="B1284" s="1" t="s">
        <v>101</v>
      </c>
      <c r="C1284" s="1" t="s">
        <v>441</v>
      </c>
      <c r="D1284" s="23"/>
      <c r="E1284" s="1" t="s">
        <v>174</v>
      </c>
      <c r="F1284" s="1" t="s">
        <v>120</v>
      </c>
      <c r="G1284" s="21" t="n">
        <f aca="false">ROUND(K1284/PI(),0)</f>
        <v>3</v>
      </c>
      <c r="H1284" s="1" t="n">
        <v>4</v>
      </c>
      <c r="I1284" s="1" t="s">
        <v>129</v>
      </c>
      <c r="J1284" s="1" t="s">
        <v>149</v>
      </c>
      <c r="K1284" s="1" t="n">
        <v>8.5</v>
      </c>
    </row>
    <row r="1285" customFormat="false" ht="14.25" hidden="true" customHeight="false" outlineLevel="0" collapsed="false">
      <c r="A1285" s="1" t="n">
        <v>3</v>
      </c>
      <c r="B1285" s="1" t="s">
        <v>122</v>
      </c>
      <c r="C1285" s="1" t="s">
        <v>442</v>
      </c>
      <c r="D1285" s="23" t="s">
        <v>282</v>
      </c>
      <c r="E1285" s="1" t="s">
        <v>283</v>
      </c>
      <c r="F1285" s="2" t="s">
        <v>120</v>
      </c>
      <c r="G1285" s="21" t="n">
        <f aca="false">K1285/3.1416</f>
        <v>3.18309141838554</v>
      </c>
      <c r="H1285" s="1" t="n">
        <v>0</v>
      </c>
      <c r="I1285" s="2" t="s">
        <v>74</v>
      </c>
      <c r="J1285" s="1" t="s">
        <v>74</v>
      </c>
      <c r="K1285" s="1" t="n">
        <v>10</v>
      </c>
    </row>
    <row r="1286" customFormat="false" ht="14.25" hidden="true" customHeight="false" outlineLevel="0" collapsed="false">
      <c r="A1286" s="1" t="n">
        <v>11</v>
      </c>
      <c r="B1286" s="1" t="s">
        <v>82</v>
      </c>
      <c r="C1286" s="1" t="s">
        <v>442</v>
      </c>
      <c r="D1286" s="23"/>
      <c r="G1286" s="21" t="n">
        <f aca="false">K1286/3.1416 + 14/3.1416</f>
        <v>9.23096511331805</v>
      </c>
      <c r="H1286" s="1" t="n">
        <v>6</v>
      </c>
      <c r="I1286" s="1" t="s">
        <v>127</v>
      </c>
      <c r="J1286" s="1" t="s">
        <v>237</v>
      </c>
      <c r="K1286" s="1" t="n">
        <v>15</v>
      </c>
    </row>
    <row r="1287" customFormat="false" ht="14.25" hidden="true" customHeight="false" outlineLevel="0" collapsed="false">
      <c r="A1287" s="1" t="n">
        <v>11</v>
      </c>
      <c r="B1287" s="1" t="s">
        <v>82</v>
      </c>
      <c r="C1287" s="1" t="s">
        <v>442</v>
      </c>
      <c r="D1287" s="23"/>
      <c r="G1287" s="21" t="n">
        <f aca="false">K1287/3.1416</f>
        <v>5.72956455309397</v>
      </c>
      <c r="H1287" s="1" t="n">
        <v>10</v>
      </c>
      <c r="I1287" s="1" t="s">
        <v>129</v>
      </c>
      <c r="J1287" s="1" t="s">
        <v>237</v>
      </c>
      <c r="K1287" s="1" t="n">
        <v>18</v>
      </c>
    </row>
    <row r="1288" customFormat="false" ht="14.25" hidden="true" customHeight="false" outlineLevel="0" collapsed="false">
      <c r="A1288" s="1" t="n">
        <v>12</v>
      </c>
      <c r="B1288" s="1" t="s">
        <v>128</v>
      </c>
      <c r="C1288" s="1" t="s">
        <v>442</v>
      </c>
      <c r="D1288" s="23" t="s">
        <v>212</v>
      </c>
      <c r="E1288" s="1" t="s">
        <v>124</v>
      </c>
      <c r="F1288" s="1" t="s">
        <v>138</v>
      </c>
      <c r="G1288" s="21" t="n">
        <f aca="false">K1288/3.1416</f>
        <v>2.54647313470843</v>
      </c>
      <c r="H1288" s="1" t="n">
        <v>4</v>
      </c>
      <c r="I1288" s="1" t="s">
        <v>127</v>
      </c>
      <c r="J1288" s="1" t="s">
        <v>237</v>
      </c>
      <c r="K1288" s="1" t="n">
        <v>8</v>
      </c>
    </row>
    <row r="1289" customFormat="false" ht="14.25" hidden="true" customHeight="false" outlineLevel="0" collapsed="false">
      <c r="A1289" s="1" t="n">
        <v>13</v>
      </c>
      <c r="B1289" s="1" t="s">
        <v>128</v>
      </c>
      <c r="C1289" s="1" t="s">
        <v>442</v>
      </c>
      <c r="D1289" s="23"/>
      <c r="G1289" s="21" t="n">
        <f aca="false">2*K1289/3.1416</f>
        <v>10.1858925388337</v>
      </c>
      <c r="H1289" s="1" t="n">
        <v>6</v>
      </c>
      <c r="I1289" s="1" t="s">
        <v>127</v>
      </c>
      <c r="J1289" s="1" t="s">
        <v>237</v>
      </c>
      <c r="K1289" s="1" t="n">
        <v>16</v>
      </c>
    </row>
    <row r="1290" customFormat="false" ht="14.25" hidden="true" customHeight="false" outlineLevel="0" collapsed="false">
      <c r="A1290" s="1" t="n">
        <v>14</v>
      </c>
      <c r="B1290" s="1" t="s">
        <v>131</v>
      </c>
      <c r="C1290" s="1" t="s">
        <v>442</v>
      </c>
      <c r="D1290" s="23"/>
      <c r="G1290" s="21" t="n">
        <f aca="false">K1290/3.1416</f>
        <v>3.18309141838554</v>
      </c>
      <c r="H1290" s="1" t="n">
        <v>6</v>
      </c>
      <c r="I1290" s="1" t="s">
        <v>134</v>
      </c>
      <c r="J1290" s="1" t="s">
        <v>237</v>
      </c>
      <c r="K1290" s="1" t="n">
        <v>10</v>
      </c>
    </row>
    <row r="1291" customFormat="false" ht="14.25" hidden="true" customHeight="false" outlineLevel="0" collapsed="false">
      <c r="A1291" s="1" t="n">
        <v>16</v>
      </c>
      <c r="B1291" s="1" t="s">
        <v>131</v>
      </c>
      <c r="C1291" s="1" t="s">
        <v>442</v>
      </c>
      <c r="D1291" s="23" t="s">
        <v>212</v>
      </c>
      <c r="E1291" s="1" t="s">
        <v>124</v>
      </c>
      <c r="F1291" s="1" t="s">
        <v>138</v>
      </c>
      <c r="G1291" s="21" t="n">
        <f aca="false">K1291/3.1416</f>
        <v>3.18309141838554</v>
      </c>
      <c r="H1291" s="1" t="n">
        <v>4</v>
      </c>
      <c r="I1291" s="1" t="s">
        <v>129</v>
      </c>
      <c r="J1291" s="1" t="s">
        <v>237</v>
      </c>
      <c r="K1291" s="1" t="n">
        <v>10</v>
      </c>
    </row>
    <row r="1292" customFormat="false" ht="14.25" hidden="true" customHeight="false" outlineLevel="0" collapsed="false">
      <c r="A1292" s="1" t="n">
        <v>16</v>
      </c>
      <c r="B1292" s="1" t="s">
        <v>131</v>
      </c>
      <c r="C1292" s="1" t="s">
        <v>442</v>
      </c>
      <c r="D1292" s="23"/>
      <c r="G1292" s="21" t="n">
        <f aca="false">K1292/3.1416</f>
        <v>3.18309141838554</v>
      </c>
      <c r="H1292" s="1" t="n">
        <v>4</v>
      </c>
      <c r="I1292" s="1" t="s">
        <v>129</v>
      </c>
      <c r="J1292" s="1" t="s">
        <v>237</v>
      </c>
      <c r="K1292" s="1" t="n">
        <v>10</v>
      </c>
    </row>
    <row r="1293" customFormat="false" ht="14.25" hidden="true" customHeight="false" outlineLevel="0" collapsed="false">
      <c r="A1293" s="1" t="n">
        <v>17</v>
      </c>
      <c r="B1293" s="1" t="s">
        <v>128</v>
      </c>
      <c r="C1293" s="1" t="s">
        <v>442</v>
      </c>
      <c r="D1293" s="23"/>
      <c r="G1293" s="21" t="n">
        <f aca="false">K1293/3.1416</f>
        <v>2.54647313470843</v>
      </c>
      <c r="H1293" s="1" t="n">
        <v>6</v>
      </c>
      <c r="I1293" s="1" t="s">
        <v>127</v>
      </c>
      <c r="J1293" s="1" t="s">
        <v>237</v>
      </c>
      <c r="K1293" s="1" t="n">
        <v>8</v>
      </c>
    </row>
    <row r="1294" customFormat="false" ht="14.25" hidden="true" customHeight="false" outlineLevel="0" collapsed="false">
      <c r="A1294" s="1" t="n">
        <v>17</v>
      </c>
      <c r="B1294" s="1" t="s">
        <v>128</v>
      </c>
      <c r="C1294" s="1" t="s">
        <v>442</v>
      </c>
      <c r="D1294" s="23" t="s">
        <v>212</v>
      </c>
      <c r="E1294" s="1" t="s">
        <v>124</v>
      </c>
      <c r="F1294" s="1" t="s">
        <v>138</v>
      </c>
      <c r="G1294" s="21" t="n">
        <f aca="false">K1294/3.1416</f>
        <v>3.18309141838554</v>
      </c>
      <c r="H1294" s="1" t="n">
        <v>6</v>
      </c>
      <c r="I1294" s="1" t="s">
        <v>127</v>
      </c>
      <c r="J1294" s="1" t="s">
        <v>237</v>
      </c>
      <c r="K1294" s="1" t="n">
        <v>10</v>
      </c>
    </row>
    <row r="1295" customFormat="false" ht="14.25" hidden="true" customHeight="false" outlineLevel="0" collapsed="false">
      <c r="A1295" s="1" t="n">
        <v>18</v>
      </c>
      <c r="B1295" s="1" t="s">
        <v>128</v>
      </c>
      <c r="C1295" s="1" t="s">
        <v>442</v>
      </c>
      <c r="D1295" s="23" t="s">
        <v>212</v>
      </c>
      <c r="E1295" s="1" t="s">
        <v>124</v>
      </c>
      <c r="F1295" s="1" t="s">
        <v>138</v>
      </c>
      <c r="G1295" s="21" t="n">
        <f aca="false">K1295/3.1416</f>
        <v>4.7746371275783</v>
      </c>
      <c r="H1295" s="1" t="n">
        <v>7</v>
      </c>
      <c r="I1295" s="1" t="s">
        <v>134</v>
      </c>
      <c r="J1295" s="1" t="s">
        <v>237</v>
      </c>
      <c r="K1295" s="1" t="n">
        <v>15</v>
      </c>
    </row>
    <row r="1296" customFormat="false" ht="14.25" hidden="true" customHeight="false" outlineLevel="0" collapsed="false">
      <c r="A1296" s="1" t="n">
        <v>18</v>
      </c>
      <c r="B1296" s="1" t="s">
        <v>128</v>
      </c>
      <c r="C1296" s="1" t="s">
        <v>442</v>
      </c>
      <c r="D1296" s="23"/>
      <c r="G1296" s="21" t="n">
        <f aca="false">K1296/3.1416</f>
        <v>2.54647313470843</v>
      </c>
      <c r="H1296" s="1" t="n">
        <v>5</v>
      </c>
      <c r="I1296" s="1" t="s">
        <v>134</v>
      </c>
      <c r="J1296" s="1" t="s">
        <v>237</v>
      </c>
      <c r="K1296" s="1" t="n">
        <v>8</v>
      </c>
    </row>
    <row r="1297" customFormat="false" ht="14.25" hidden="true" customHeight="false" outlineLevel="0" collapsed="false">
      <c r="A1297" s="1" t="n">
        <v>19</v>
      </c>
      <c r="B1297" s="1" t="s">
        <v>128</v>
      </c>
      <c r="C1297" s="1" t="s">
        <v>442</v>
      </c>
      <c r="D1297" s="23" t="s">
        <v>392</v>
      </c>
      <c r="E1297" s="1" t="s">
        <v>139</v>
      </c>
      <c r="F1297" s="1" t="s">
        <v>138</v>
      </c>
      <c r="G1297" s="21" t="n">
        <f aca="false">K1297/3.1416</f>
        <v>2.54647313470843</v>
      </c>
      <c r="H1297" s="1" t="n">
        <v>3</v>
      </c>
      <c r="I1297" s="1" t="s">
        <v>134</v>
      </c>
      <c r="J1297" s="1" t="s">
        <v>237</v>
      </c>
      <c r="K1297" s="1" t="n">
        <v>8</v>
      </c>
    </row>
    <row r="1298" customFormat="false" ht="14.25" hidden="true" customHeight="false" outlineLevel="0" collapsed="false">
      <c r="A1298" s="1" t="n">
        <v>19</v>
      </c>
      <c r="B1298" s="1" t="s">
        <v>128</v>
      </c>
      <c r="C1298" s="1" t="s">
        <v>442</v>
      </c>
      <c r="D1298" s="23" t="s">
        <v>282</v>
      </c>
      <c r="E1298" s="1" t="s">
        <v>283</v>
      </c>
      <c r="F1298" s="1" t="s">
        <v>120</v>
      </c>
      <c r="G1298" s="21" t="n">
        <f aca="false">K1298/3.1416</f>
        <v>3.18309141838554</v>
      </c>
      <c r="H1298" s="1" t="n">
        <v>5</v>
      </c>
      <c r="I1298" s="1" t="s">
        <v>129</v>
      </c>
      <c r="J1298" s="1" t="s">
        <v>237</v>
      </c>
      <c r="K1298" s="1" t="n">
        <v>10</v>
      </c>
    </row>
    <row r="1299" customFormat="false" ht="14.25" hidden="true" customHeight="false" outlineLevel="0" collapsed="false">
      <c r="A1299" s="1" t="n">
        <v>21</v>
      </c>
      <c r="B1299" s="1" t="s">
        <v>135</v>
      </c>
      <c r="C1299" s="1" t="s">
        <v>442</v>
      </c>
      <c r="D1299" s="23" t="s">
        <v>298</v>
      </c>
      <c r="E1299" s="1" t="s">
        <v>299</v>
      </c>
      <c r="F1299" s="1" t="s">
        <v>138</v>
      </c>
      <c r="G1299" s="21" t="n">
        <f aca="false">K1299/3.1416</f>
        <v>4.1380188439012</v>
      </c>
      <c r="H1299" s="1" t="n">
        <v>4</v>
      </c>
      <c r="I1299" s="1" t="s">
        <v>134</v>
      </c>
      <c r="J1299" s="1" t="s">
        <v>237</v>
      </c>
      <c r="K1299" s="1" t="n">
        <v>13</v>
      </c>
    </row>
    <row r="1300" customFormat="false" ht="14.25" hidden="true" customHeight="false" outlineLevel="0" collapsed="false">
      <c r="A1300" s="1" t="n">
        <v>21</v>
      </c>
      <c r="B1300" s="1" t="s">
        <v>135</v>
      </c>
      <c r="C1300" s="1" t="s">
        <v>442</v>
      </c>
      <c r="D1300" s="23" t="s">
        <v>298</v>
      </c>
      <c r="E1300" s="1" t="s">
        <v>299</v>
      </c>
      <c r="F1300" s="1" t="s">
        <v>138</v>
      </c>
      <c r="G1300" s="21" t="n">
        <f aca="false">K1300/3.1416</f>
        <v>4.1380188439012</v>
      </c>
      <c r="H1300" s="1" t="n">
        <v>8</v>
      </c>
      <c r="I1300" s="1" t="s">
        <v>129</v>
      </c>
      <c r="J1300" s="1" t="s">
        <v>237</v>
      </c>
      <c r="K1300" s="1" t="n">
        <v>13</v>
      </c>
    </row>
    <row r="1301" customFormat="false" ht="14.25" hidden="true" customHeight="false" outlineLevel="0" collapsed="false">
      <c r="A1301" s="1" t="n">
        <v>21</v>
      </c>
      <c r="B1301" s="1" t="s">
        <v>135</v>
      </c>
      <c r="C1301" s="1" t="s">
        <v>442</v>
      </c>
      <c r="D1301" s="23" t="s">
        <v>298</v>
      </c>
      <c r="E1301" s="1" t="s">
        <v>299</v>
      </c>
      <c r="F1301" s="1" t="s">
        <v>138</v>
      </c>
      <c r="G1301" s="21" t="n">
        <f aca="false">K1301/3.1416</f>
        <v>4.45632798573975</v>
      </c>
      <c r="H1301" s="1" t="n">
        <v>8</v>
      </c>
      <c r="I1301" s="1" t="s">
        <v>127</v>
      </c>
      <c r="J1301" s="1" t="s">
        <v>237</v>
      </c>
      <c r="K1301" s="1" t="n">
        <v>14</v>
      </c>
    </row>
    <row r="1302" customFormat="false" ht="14.25" hidden="true" customHeight="false" outlineLevel="0" collapsed="false">
      <c r="A1302" s="1" t="n">
        <v>22</v>
      </c>
      <c r="B1302" s="1" t="s">
        <v>135</v>
      </c>
      <c r="C1302" s="1" t="s">
        <v>442</v>
      </c>
      <c r="D1302" s="23"/>
      <c r="G1302" s="21" t="n">
        <f aca="false">K1302/3.1416</f>
        <v>4.45632798573975</v>
      </c>
      <c r="H1302" s="1" t="n">
        <v>7</v>
      </c>
      <c r="I1302" s="1" t="s">
        <v>134</v>
      </c>
      <c r="J1302" s="1" t="s">
        <v>237</v>
      </c>
      <c r="K1302" s="1" t="n">
        <v>14</v>
      </c>
    </row>
    <row r="1303" customFormat="false" ht="14.25" hidden="true" customHeight="false" outlineLevel="0" collapsed="false">
      <c r="A1303" s="1" t="n">
        <v>23</v>
      </c>
      <c r="B1303" s="1" t="s">
        <v>135</v>
      </c>
      <c r="C1303" s="1" t="s">
        <v>442</v>
      </c>
      <c r="D1303" s="23"/>
      <c r="G1303" s="21" t="n">
        <f aca="false">K1303/3.1416</f>
        <v>2.54647313470843</v>
      </c>
      <c r="H1303" s="1" t="n">
        <v>5</v>
      </c>
      <c r="I1303" s="1" t="s">
        <v>129</v>
      </c>
      <c r="J1303" s="1" t="s">
        <v>237</v>
      </c>
      <c r="K1303" s="1" t="n">
        <v>8</v>
      </c>
    </row>
    <row r="1304" customFormat="false" ht="14.25" hidden="true" customHeight="false" outlineLevel="0" collapsed="false">
      <c r="A1304" s="1" t="n">
        <v>24</v>
      </c>
      <c r="B1304" s="1" t="s">
        <v>135</v>
      </c>
      <c r="C1304" s="1" t="s">
        <v>442</v>
      </c>
      <c r="D1304" s="23"/>
      <c r="G1304" s="21" t="n">
        <f aca="false">K1304/3.1416</f>
        <v>4.1380188439012</v>
      </c>
      <c r="H1304" s="1" t="n">
        <v>7</v>
      </c>
      <c r="I1304" s="1" t="s">
        <v>129</v>
      </c>
      <c r="J1304" s="1" t="s">
        <v>237</v>
      </c>
      <c r="K1304" s="1" t="n">
        <v>13</v>
      </c>
    </row>
    <row r="1305" customFormat="false" ht="14.25" hidden="true" customHeight="false" outlineLevel="0" collapsed="false">
      <c r="A1305" s="1" t="n">
        <v>25</v>
      </c>
      <c r="B1305" s="1" t="s">
        <v>135</v>
      </c>
      <c r="C1305" s="1" t="s">
        <v>442</v>
      </c>
      <c r="D1305" s="23"/>
      <c r="G1305" s="21" t="n">
        <f aca="false">K1305/3.1416</f>
        <v>3.50140056022409</v>
      </c>
      <c r="H1305" s="1" t="n">
        <v>6</v>
      </c>
      <c r="I1305" s="1" t="s">
        <v>129</v>
      </c>
      <c r="J1305" s="1" t="s">
        <v>237</v>
      </c>
      <c r="K1305" s="1" t="n">
        <v>11</v>
      </c>
    </row>
    <row r="1306" customFormat="false" ht="14.25" hidden="true" customHeight="false" outlineLevel="0" collapsed="false">
      <c r="A1306" s="1" t="n">
        <v>27</v>
      </c>
      <c r="B1306" s="1" t="s">
        <v>82</v>
      </c>
      <c r="C1306" s="1" t="s">
        <v>442</v>
      </c>
      <c r="D1306" s="23"/>
      <c r="G1306" s="21" t="n">
        <f aca="false">K1306/3.1416</f>
        <v>4.45632798573975</v>
      </c>
      <c r="H1306" s="1" t="n">
        <v>7</v>
      </c>
      <c r="I1306" s="1" t="s">
        <v>129</v>
      </c>
      <c r="J1306" s="1" t="s">
        <v>237</v>
      </c>
      <c r="K1306" s="1" t="n">
        <v>14</v>
      </c>
    </row>
    <row r="1307" customFormat="false" ht="14.25" hidden="true" customHeight="false" outlineLevel="0" collapsed="false">
      <c r="A1307" s="1" t="n">
        <v>27</v>
      </c>
      <c r="B1307" s="1" t="s">
        <v>82</v>
      </c>
      <c r="C1307" s="1" t="s">
        <v>442</v>
      </c>
      <c r="D1307" s="23"/>
      <c r="G1307" s="21" t="n">
        <f aca="false">K1307/3.1416</f>
        <v>2.54647313470843</v>
      </c>
      <c r="H1307" s="1" t="n">
        <v>5</v>
      </c>
      <c r="I1307" s="1" t="s">
        <v>129</v>
      </c>
      <c r="J1307" s="1" t="s">
        <v>237</v>
      </c>
      <c r="K1307" s="1" t="n">
        <v>8</v>
      </c>
    </row>
    <row r="1308" customFormat="false" ht="14.25" hidden="true" customHeight="false" outlineLevel="0" collapsed="false">
      <c r="A1308" s="1" t="n">
        <v>27</v>
      </c>
      <c r="B1308" s="1" t="s">
        <v>82</v>
      </c>
      <c r="C1308" s="1" t="s">
        <v>442</v>
      </c>
      <c r="D1308" s="23"/>
      <c r="G1308" s="21" t="n">
        <f aca="false">K1308/3.1416</f>
        <v>2.54647313470843</v>
      </c>
      <c r="H1308" s="1" t="n">
        <v>5</v>
      </c>
      <c r="I1308" s="1" t="s">
        <v>134</v>
      </c>
      <c r="J1308" s="1" t="s">
        <v>237</v>
      </c>
      <c r="K1308" s="1" t="n">
        <v>8</v>
      </c>
    </row>
    <row r="1309" customFormat="false" ht="14.25" hidden="true" customHeight="false" outlineLevel="0" collapsed="false">
      <c r="A1309" s="1" t="n">
        <v>28</v>
      </c>
      <c r="B1309" s="1" t="s">
        <v>82</v>
      </c>
      <c r="C1309" s="1" t="s">
        <v>442</v>
      </c>
      <c r="D1309" s="23"/>
      <c r="G1309" s="21" t="n">
        <f aca="false">K1309/3.1416</f>
        <v>3.18309141838554</v>
      </c>
      <c r="H1309" s="1" t="n">
        <v>8</v>
      </c>
      <c r="I1309" s="1" t="s">
        <v>129</v>
      </c>
      <c r="J1309" s="1" t="s">
        <v>237</v>
      </c>
      <c r="K1309" s="1" t="n">
        <v>10</v>
      </c>
    </row>
    <row r="1310" customFormat="false" ht="14.25" hidden="true" customHeight="false" outlineLevel="0" collapsed="false">
      <c r="A1310" s="1" t="n">
        <v>28</v>
      </c>
      <c r="B1310" s="1" t="s">
        <v>82</v>
      </c>
      <c r="C1310" s="1" t="s">
        <v>442</v>
      </c>
      <c r="D1310" s="23"/>
      <c r="E1310" s="1" t="s">
        <v>145</v>
      </c>
      <c r="F1310" s="1" t="s">
        <v>120</v>
      </c>
      <c r="G1310" s="21" t="n">
        <f aca="false">K1310/3.1416</f>
        <v>11.7774382480265</v>
      </c>
      <c r="H1310" s="1" t="n">
        <v>10</v>
      </c>
      <c r="I1310" s="1" t="s">
        <v>129</v>
      </c>
      <c r="J1310" s="1" t="s">
        <v>237</v>
      </c>
      <c r="K1310" s="1" t="n">
        <v>37</v>
      </c>
    </row>
    <row r="1311" customFormat="false" ht="14.25" hidden="true" customHeight="false" outlineLevel="0" collapsed="false">
      <c r="A1311" s="1" t="n">
        <v>28</v>
      </c>
      <c r="B1311" s="1" t="s">
        <v>82</v>
      </c>
      <c r="C1311" s="1" t="s">
        <v>442</v>
      </c>
      <c r="D1311" s="23"/>
      <c r="E1311" s="1" t="s">
        <v>145</v>
      </c>
      <c r="F1311" s="1" t="s">
        <v>120</v>
      </c>
      <c r="G1311" s="21" t="n">
        <f aca="false">K1311/3.1416</f>
        <v>3.50140056022409</v>
      </c>
      <c r="H1311" s="1" t="n">
        <v>5</v>
      </c>
      <c r="I1311" s="1" t="s">
        <v>129</v>
      </c>
      <c r="J1311" s="1" t="s">
        <v>237</v>
      </c>
      <c r="K1311" s="1" t="n">
        <v>11</v>
      </c>
    </row>
    <row r="1312" customFormat="false" ht="14.25" hidden="true" customHeight="false" outlineLevel="0" collapsed="false">
      <c r="A1312" s="1" t="n">
        <v>28</v>
      </c>
      <c r="B1312" s="1" t="s">
        <v>82</v>
      </c>
      <c r="C1312" s="1" t="s">
        <v>442</v>
      </c>
      <c r="D1312" s="23"/>
      <c r="E1312" s="1" t="s">
        <v>145</v>
      </c>
      <c r="F1312" s="1" t="s">
        <v>120</v>
      </c>
      <c r="G1312" s="21" t="n">
        <f aca="false">K1312/3.1416</f>
        <v>3.18309141838554</v>
      </c>
      <c r="H1312" s="1" t="n">
        <v>6</v>
      </c>
      <c r="I1312" s="1" t="s">
        <v>129</v>
      </c>
      <c r="J1312" s="1" t="s">
        <v>237</v>
      </c>
      <c r="K1312" s="1" t="n">
        <v>10</v>
      </c>
    </row>
    <row r="1313" customFormat="false" ht="14.25" hidden="true" customHeight="false" outlineLevel="0" collapsed="false">
      <c r="A1313" s="1" t="n">
        <v>28</v>
      </c>
      <c r="B1313" s="1" t="s">
        <v>82</v>
      </c>
      <c r="C1313" s="1" t="s">
        <v>442</v>
      </c>
      <c r="D1313" s="23" t="s">
        <v>282</v>
      </c>
      <c r="E1313" s="1" t="s">
        <v>283</v>
      </c>
      <c r="F1313" s="1" t="s">
        <v>120</v>
      </c>
      <c r="G1313" s="21" t="n">
        <f aca="false">K1313/3.1416</f>
        <v>3.81970970206264</v>
      </c>
      <c r="H1313" s="1" t="n">
        <v>8</v>
      </c>
      <c r="I1313" s="1" t="s">
        <v>129</v>
      </c>
      <c r="J1313" s="1" t="s">
        <v>237</v>
      </c>
      <c r="K1313" s="1" t="n">
        <v>12</v>
      </c>
    </row>
    <row r="1314" customFormat="false" ht="14.25" hidden="true" customHeight="false" outlineLevel="0" collapsed="false">
      <c r="A1314" s="1" t="n">
        <v>29</v>
      </c>
      <c r="B1314" s="1" t="s">
        <v>131</v>
      </c>
      <c r="C1314" s="1" t="s">
        <v>442</v>
      </c>
      <c r="D1314" s="23"/>
      <c r="G1314" s="21" t="n">
        <f aca="false">K1314/3.1416</f>
        <v>2.54647313470843</v>
      </c>
      <c r="H1314" s="1" t="n">
        <v>7</v>
      </c>
      <c r="I1314" s="1" t="s">
        <v>129</v>
      </c>
      <c r="J1314" s="1" t="s">
        <v>237</v>
      </c>
      <c r="K1314" s="1" t="n">
        <v>8</v>
      </c>
    </row>
    <row r="1315" customFormat="false" ht="14.25" hidden="true" customHeight="false" outlineLevel="0" collapsed="false">
      <c r="A1315" s="1" t="n">
        <v>29</v>
      </c>
      <c r="B1315" s="1" t="s">
        <v>131</v>
      </c>
      <c r="C1315" s="1" t="s">
        <v>442</v>
      </c>
      <c r="D1315" s="23" t="s">
        <v>282</v>
      </c>
      <c r="E1315" s="1" t="s">
        <v>283</v>
      </c>
      <c r="F1315" s="1" t="s">
        <v>120</v>
      </c>
      <c r="G1315" s="21" t="n">
        <f aca="false">K1315/3.1416</f>
        <v>3.18309141838554</v>
      </c>
      <c r="H1315" s="1" t="n">
        <v>6</v>
      </c>
      <c r="I1315" s="1" t="s">
        <v>129</v>
      </c>
      <c r="J1315" s="1" t="s">
        <v>237</v>
      </c>
      <c r="K1315" s="1" t="n">
        <v>10</v>
      </c>
    </row>
    <row r="1316" customFormat="false" ht="14.25" hidden="true" customHeight="false" outlineLevel="0" collapsed="false">
      <c r="A1316" s="1" t="n">
        <v>30</v>
      </c>
      <c r="B1316" s="1" t="s">
        <v>131</v>
      </c>
      <c r="C1316" s="1" t="s">
        <v>442</v>
      </c>
      <c r="D1316" s="23" t="s">
        <v>298</v>
      </c>
      <c r="E1316" s="1" t="s">
        <v>299</v>
      </c>
      <c r="F1316" s="1" t="s">
        <v>138</v>
      </c>
      <c r="G1316" s="21" t="n">
        <f aca="false">K1316/3.1416</f>
        <v>3.81970970206264</v>
      </c>
      <c r="H1316" s="1" t="n">
        <v>7</v>
      </c>
      <c r="I1316" s="1" t="s">
        <v>127</v>
      </c>
      <c r="J1316" s="1" t="s">
        <v>237</v>
      </c>
      <c r="K1316" s="1" t="n">
        <v>12</v>
      </c>
    </row>
    <row r="1317" customFormat="false" ht="14.25" hidden="true" customHeight="false" outlineLevel="0" collapsed="false">
      <c r="A1317" s="1" t="n">
        <v>30</v>
      </c>
      <c r="B1317" s="1" t="s">
        <v>131</v>
      </c>
      <c r="C1317" s="1" t="s">
        <v>442</v>
      </c>
      <c r="D1317" s="23" t="s">
        <v>298</v>
      </c>
      <c r="E1317" s="1" t="s">
        <v>299</v>
      </c>
      <c r="F1317" s="1" t="s">
        <v>138</v>
      </c>
      <c r="G1317" s="21" t="n">
        <f aca="false">K1317/3.1416</f>
        <v>4.1380188439012</v>
      </c>
      <c r="H1317" s="1" t="n">
        <v>6</v>
      </c>
      <c r="I1317" s="1" t="s">
        <v>129</v>
      </c>
      <c r="J1317" s="1" t="s">
        <v>237</v>
      </c>
      <c r="K1317" s="1" t="n">
        <v>13</v>
      </c>
    </row>
    <row r="1318" customFormat="false" ht="14.25" hidden="true" customHeight="false" outlineLevel="0" collapsed="false">
      <c r="A1318" s="1" t="n">
        <v>30</v>
      </c>
      <c r="B1318" s="1" t="s">
        <v>131</v>
      </c>
      <c r="C1318" s="1" t="s">
        <v>442</v>
      </c>
      <c r="D1318" s="23"/>
      <c r="G1318" s="21" t="n">
        <f aca="false">K1318/3.1416</f>
        <v>2.54647313470843</v>
      </c>
      <c r="H1318" s="1" t="n">
        <v>5</v>
      </c>
      <c r="I1318" s="1" t="s">
        <v>134</v>
      </c>
      <c r="J1318" s="1" t="s">
        <v>237</v>
      </c>
      <c r="K1318" s="1" t="n">
        <v>8</v>
      </c>
    </row>
    <row r="1319" customFormat="false" ht="14.25" hidden="true" customHeight="false" outlineLevel="0" collapsed="false">
      <c r="A1319" s="1" t="n">
        <v>30</v>
      </c>
      <c r="B1319" s="1" t="s">
        <v>131</v>
      </c>
      <c r="C1319" s="1" t="s">
        <v>442</v>
      </c>
      <c r="D1319" s="23"/>
      <c r="G1319" s="21" t="n">
        <f aca="false">K1319/3.1416</f>
        <v>2.86478227654698</v>
      </c>
      <c r="H1319" s="1" t="n">
        <v>6</v>
      </c>
      <c r="I1319" s="1" t="s">
        <v>129</v>
      </c>
      <c r="J1319" s="1" t="s">
        <v>237</v>
      </c>
      <c r="K1319" s="1" t="n">
        <v>9</v>
      </c>
    </row>
    <row r="1320" customFormat="false" ht="14.25" hidden="true" customHeight="false" outlineLevel="0" collapsed="false">
      <c r="A1320" s="1" t="n">
        <v>30</v>
      </c>
      <c r="B1320" s="1" t="s">
        <v>131</v>
      </c>
      <c r="C1320" s="1" t="s">
        <v>442</v>
      </c>
      <c r="D1320" s="23"/>
      <c r="G1320" s="21" t="n">
        <f aca="false">K1320/3.1416</f>
        <v>3.18309141838554</v>
      </c>
      <c r="H1320" s="1" t="n">
        <v>5</v>
      </c>
      <c r="I1320" s="1" t="s">
        <v>129</v>
      </c>
      <c r="J1320" s="1" t="s">
        <v>237</v>
      </c>
      <c r="K1320" s="1" t="n">
        <v>10</v>
      </c>
    </row>
    <row r="1321" customFormat="false" ht="14.25" hidden="true" customHeight="false" outlineLevel="0" collapsed="false">
      <c r="A1321" s="1" t="n">
        <v>30</v>
      </c>
      <c r="B1321" s="1" t="s">
        <v>131</v>
      </c>
      <c r="C1321" s="1" t="s">
        <v>442</v>
      </c>
      <c r="D1321" s="23"/>
      <c r="G1321" s="21" t="n">
        <f aca="false">K1321/3.1416</f>
        <v>2.86478227654698</v>
      </c>
      <c r="H1321" s="1" t="n">
        <v>6</v>
      </c>
      <c r="I1321" s="1" t="s">
        <v>129</v>
      </c>
      <c r="J1321" s="1" t="s">
        <v>237</v>
      </c>
      <c r="K1321" s="1" t="n">
        <v>9</v>
      </c>
    </row>
    <row r="1322" customFormat="false" ht="14.25" hidden="true" customHeight="false" outlineLevel="0" collapsed="false">
      <c r="A1322" s="1" t="n">
        <v>30</v>
      </c>
      <c r="B1322" s="1" t="s">
        <v>131</v>
      </c>
      <c r="C1322" s="1" t="s">
        <v>442</v>
      </c>
      <c r="D1322" s="23"/>
      <c r="G1322" s="21" t="n">
        <f aca="false">K1322/3.1416</f>
        <v>3.18309141838554</v>
      </c>
      <c r="H1322" s="1" t="n">
        <v>6</v>
      </c>
      <c r="I1322" s="1" t="s">
        <v>129</v>
      </c>
      <c r="J1322" s="1" t="s">
        <v>237</v>
      </c>
      <c r="K1322" s="1" t="n">
        <v>10</v>
      </c>
    </row>
    <row r="1323" customFormat="false" ht="14.25" hidden="true" customHeight="false" outlineLevel="0" collapsed="false">
      <c r="A1323" s="1" t="n">
        <v>31</v>
      </c>
      <c r="B1323" s="1" t="s">
        <v>131</v>
      </c>
      <c r="C1323" s="1" t="s">
        <v>442</v>
      </c>
      <c r="D1323" s="23"/>
      <c r="G1323" s="21" t="n">
        <f aca="false">K1323/3.1416</f>
        <v>2.86478227654698</v>
      </c>
      <c r="H1323" s="1" t="n">
        <v>7</v>
      </c>
      <c r="I1323" s="1" t="s">
        <v>129</v>
      </c>
      <c r="J1323" s="1" t="s">
        <v>237</v>
      </c>
      <c r="K1323" s="1" t="n">
        <v>9</v>
      </c>
    </row>
    <row r="1324" customFormat="false" ht="14.25" hidden="true" customHeight="false" outlineLevel="0" collapsed="false">
      <c r="A1324" s="1" t="n">
        <v>31</v>
      </c>
      <c r="B1324" s="1" t="s">
        <v>131</v>
      </c>
      <c r="C1324" s="1" t="s">
        <v>442</v>
      </c>
      <c r="D1324" s="23"/>
      <c r="G1324" s="21" t="n">
        <f aca="false">K1324/3.1416</f>
        <v>2.54647313470843</v>
      </c>
      <c r="H1324" s="1" t="n">
        <v>5</v>
      </c>
      <c r="I1324" s="1" t="s">
        <v>127</v>
      </c>
      <c r="J1324" s="1" t="s">
        <v>237</v>
      </c>
      <c r="K1324" s="1" t="n">
        <v>8</v>
      </c>
    </row>
    <row r="1325" customFormat="false" ht="14.25" hidden="true" customHeight="false" outlineLevel="0" collapsed="false">
      <c r="A1325" s="1" t="n">
        <v>22</v>
      </c>
      <c r="B1325" s="1" t="s">
        <v>135</v>
      </c>
      <c r="C1325" s="1" t="s">
        <v>443</v>
      </c>
      <c r="D1325" s="23" t="s">
        <v>297</v>
      </c>
      <c r="E1325" s="1" t="s">
        <v>210</v>
      </c>
      <c r="F1325" s="1" t="s">
        <v>197</v>
      </c>
      <c r="G1325" s="21" t="n">
        <f aca="false">K1325/3.1416</f>
        <v>2.54647313470843</v>
      </c>
      <c r="H1325" s="1" t="n">
        <v>2</v>
      </c>
      <c r="I1325" s="1" t="s">
        <v>129</v>
      </c>
      <c r="J1325" s="1" t="s">
        <v>149</v>
      </c>
      <c r="K1325" s="1" t="n">
        <v>8</v>
      </c>
    </row>
    <row r="1326" customFormat="false" ht="14.25" hidden="true" customHeight="false" outlineLevel="0" collapsed="false">
      <c r="A1326" s="1" t="n">
        <v>24</v>
      </c>
      <c r="B1326" s="1" t="s">
        <v>135</v>
      </c>
      <c r="C1326" s="1" t="s">
        <v>443</v>
      </c>
      <c r="D1326" s="23" t="s">
        <v>297</v>
      </c>
      <c r="E1326" s="1" t="s">
        <v>210</v>
      </c>
      <c r="F1326" s="1" t="s">
        <v>197</v>
      </c>
      <c r="G1326" s="21" t="n">
        <f aca="false">K1326/3.1416</f>
        <v>2.54647313470843</v>
      </c>
      <c r="H1326" s="1" t="n">
        <v>3</v>
      </c>
      <c r="I1326" s="1" t="s">
        <v>129</v>
      </c>
      <c r="J1326" s="1" t="s">
        <v>149</v>
      </c>
      <c r="K1326" s="1" t="n">
        <v>8</v>
      </c>
    </row>
    <row r="1327" customFormat="false" ht="14.25" hidden="true" customHeight="false" outlineLevel="0" collapsed="false">
      <c r="A1327" s="1" t="n">
        <v>26</v>
      </c>
      <c r="B1327" s="1" t="s">
        <v>135</v>
      </c>
      <c r="C1327" s="1" t="s">
        <v>443</v>
      </c>
      <c r="D1327" s="23" t="s">
        <v>170</v>
      </c>
      <c r="E1327" s="1" t="s">
        <v>156</v>
      </c>
      <c r="F1327" s="1" t="s">
        <v>120</v>
      </c>
      <c r="G1327" s="21" t="n">
        <f aca="false">K1327/3.1416</f>
        <v>2.54647313470843</v>
      </c>
      <c r="H1327" s="1" t="n">
        <v>4</v>
      </c>
      <c r="I1327" s="1" t="s">
        <v>127</v>
      </c>
      <c r="J1327" s="1" t="s">
        <v>149</v>
      </c>
      <c r="K1327" s="1" t="n">
        <v>8</v>
      </c>
    </row>
    <row r="1328" customFormat="false" ht="14.25" hidden="true" customHeight="false" outlineLevel="0" collapsed="false">
      <c r="A1328" s="1" t="n">
        <v>31</v>
      </c>
      <c r="B1328" s="1" t="s">
        <v>131</v>
      </c>
      <c r="C1328" s="1" t="s">
        <v>443</v>
      </c>
      <c r="D1328" s="23" t="s">
        <v>376</v>
      </c>
      <c r="E1328" s="1" t="s">
        <v>210</v>
      </c>
      <c r="F1328" s="1" t="s">
        <v>120</v>
      </c>
      <c r="G1328" s="21" t="n">
        <f aca="false">K1328/3.1416</f>
        <v>2.86478227654698</v>
      </c>
      <c r="H1328" s="1" t="n">
        <v>6</v>
      </c>
      <c r="I1328" s="1" t="s">
        <v>129</v>
      </c>
      <c r="J1328" s="1" t="s">
        <v>149</v>
      </c>
      <c r="K1328" s="1" t="n">
        <v>9</v>
      </c>
    </row>
    <row r="1329" customFormat="false" ht="14.25" hidden="true" customHeight="false" outlineLevel="0" collapsed="false">
      <c r="A1329" s="1" t="n">
        <v>4</v>
      </c>
      <c r="B1329" s="1" t="s">
        <v>82</v>
      </c>
      <c r="C1329" s="1" t="s">
        <v>443</v>
      </c>
      <c r="D1329" s="23" t="s">
        <v>376</v>
      </c>
      <c r="E1329" s="1" t="s">
        <v>210</v>
      </c>
      <c r="F1329" s="1" t="s">
        <v>120</v>
      </c>
      <c r="G1329" s="21" t="n">
        <f aca="false">ROUND(K1329/PI(),0)</f>
        <v>4</v>
      </c>
      <c r="H1329" s="1" t="n">
        <v>7</v>
      </c>
      <c r="I1329" s="1" t="s">
        <v>129</v>
      </c>
      <c r="J1329" s="1" t="s">
        <v>444</v>
      </c>
      <c r="K1329" s="1" t="n">
        <v>13</v>
      </c>
    </row>
    <row r="1330" customFormat="false" ht="14.25" hidden="true" customHeight="false" outlineLevel="0" collapsed="false">
      <c r="A1330" s="1" t="n">
        <v>7</v>
      </c>
      <c r="B1330" s="1" t="s">
        <v>101</v>
      </c>
      <c r="C1330" s="1" t="s">
        <v>443</v>
      </c>
      <c r="D1330" s="23" t="s">
        <v>376</v>
      </c>
      <c r="E1330" s="1" t="s">
        <v>210</v>
      </c>
      <c r="F1330" s="1" t="s">
        <v>120</v>
      </c>
      <c r="G1330" s="21" t="n">
        <f aca="false">ROUND(K1330/PI(),0)</f>
        <v>3</v>
      </c>
      <c r="H1330" s="1" t="n">
        <v>5</v>
      </c>
      <c r="I1330" s="1" t="s">
        <v>129</v>
      </c>
      <c r="J1330" s="1" t="s">
        <v>149</v>
      </c>
      <c r="K1330" s="1" t="n">
        <v>9</v>
      </c>
    </row>
    <row r="1331" customFormat="false" ht="14.25" hidden="true" customHeight="false" outlineLevel="0" collapsed="false">
      <c r="A1331" s="1" t="n">
        <v>7</v>
      </c>
      <c r="B1331" s="1" t="s">
        <v>101</v>
      </c>
      <c r="C1331" s="1" t="s">
        <v>443</v>
      </c>
      <c r="D1331" s="23" t="s">
        <v>376</v>
      </c>
      <c r="E1331" s="1" t="s">
        <v>210</v>
      </c>
      <c r="F1331" s="1" t="s">
        <v>120</v>
      </c>
      <c r="G1331" s="21" t="n">
        <f aca="false">ROUND(K1331/PI(),0)</f>
        <v>4</v>
      </c>
      <c r="H1331" s="1" t="n">
        <v>4</v>
      </c>
      <c r="I1331" s="1" t="s">
        <v>129</v>
      </c>
      <c r="J1331" s="1" t="s">
        <v>149</v>
      </c>
      <c r="K1331" s="1" t="n">
        <v>11</v>
      </c>
    </row>
    <row r="1332" customFormat="false" ht="14.25" hidden="true" customHeight="false" outlineLevel="0" collapsed="false">
      <c r="A1332" s="1" t="n">
        <v>7</v>
      </c>
      <c r="B1332" s="1" t="s">
        <v>101</v>
      </c>
      <c r="C1332" s="1" t="s">
        <v>443</v>
      </c>
      <c r="D1332" s="23" t="s">
        <v>376</v>
      </c>
      <c r="E1332" s="1" t="s">
        <v>210</v>
      </c>
      <c r="F1332" s="1" t="s">
        <v>120</v>
      </c>
      <c r="G1332" s="21" t="n">
        <f aca="false">ROUND(K1332/PI(),0)</f>
        <v>4</v>
      </c>
      <c r="H1332" s="1" t="n">
        <v>6</v>
      </c>
      <c r="I1332" s="1" t="s">
        <v>129</v>
      </c>
      <c r="J1332" s="1" t="s">
        <v>149</v>
      </c>
      <c r="K1332" s="1" t="n">
        <v>12</v>
      </c>
    </row>
    <row r="1333" customFormat="false" ht="14.25" hidden="true" customHeight="false" outlineLevel="0" collapsed="false">
      <c r="A1333" s="1" t="n">
        <v>3</v>
      </c>
      <c r="B1333" s="1" t="s">
        <v>122</v>
      </c>
      <c r="C1333" s="1" t="s">
        <v>445</v>
      </c>
      <c r="D1333" s="23" t="s">
        <v>446</v>
      </c>
      <c r="E1333" s="1" t="s">
        <v>447</v>
      </c>
      <c r="F1333" s="2" t="s">
        <v>120</v>
      </c>
      <c r="G1333" s="21" t="n">
        <f aca="false">K1333/3.1416+ (13/3.1416) + (13/3.1416)</f>
        <v>12.4140565317036</v>
      </c>
      <c r="H1333" s="1" t="n">
        <v>0</v>
      </c>
      <c r="I1333" s="2" t="s">
        <v>74</v>
      </c>
      <c r="J1333" s="1" t="s">
        <v>448</v>
      </c>
      <c r="K1333" s="1" t="n">
        <v>13</v>
      </c>
    </row>
    <row r="1334" customFormat="false" ht="14.25" hidden="true" customHeight="false" outlineLevel="0" collapsed="false">
      <c r="A1334" s="1" t="n">
        <v>27</v>
      </c>
      <c r="B1334" s="1" t="s">
        <v>82</v>
      </c>
      <c r="C1334" s="1" t="s">
        <v>445</v>
      </c>
      <c r="D1334" s="23"/>
      <c r="G1334" s="21" t="n">
        <f aca="false">K1334/3.1416</f>
        <v>2.54647313470843</v>
      </c>
      <c r="H1334" s="1" t="n">
        <v>2</v>
      </c>
      <c r="I1334" s="1" t="s">
        <v>129</v>
      </c>
      <c r="J1334" s="1" t="s">
        <v>448</v>
      </c>
      <c r="K1334" s="1" t="n">
        <v>8</v>
      </c>
    </row>
    <row r="1335" customFormat="false" ht="14.25" hidden="true" customHeight="false" outlineLevel="0" collapsed="false">
      <c r="A1335" s="1" t="n">
        <v>3</v>
      </c>
      <c r="B1335" s="1" t="s">
        <v>122</v>
      </c>
      <c r="C1335" s="1" t="s">
        <v>449</v>
      </c>
      <c r="D1335" s="23" t="s">
        <v>450</v>
      </c>
      <c r="E1335" s="1" t="s">
        <v>447</v>
      </c>
      <c r="F1335" s="2" t="s">
        <v>197</v>
      </c>
      <c r="G1335" s="21" t="n">
        <f aca="false">K1335/3.1416</f>
        <v>6.36618283677107</v>
      </c>
      <c r="H1335" s="1" t="n">
        <v>0</v>
      </c>
      <c r="I1335" s="2" t="s">
        <v>74</v>
      </c>
      <c r="J1335" s="1" t="s">
        <v>149</v>
      </c>
      <c r="K1335" s="1" t="n">
        <v>20</v>
      </c>
    </row>
    <row r="1336" customFormat="false" ht="14.25" hidden="true" customHeight="false" outlineLevel="0" collapsed="false">
      <c r="A1336" s="1" t="n">
        <v>8</v>
      </c>
      <c r="B1336" s="1" t="s">
        <v>122</v>
      </c>
      <c r="C1336" s="1" t="s">
        <v>449</v>
      </c>
      <c r="D1336" s="23"/>
      <c r="G1336" s="21" t="n">
        <f aca="false">K1336/3.1416</f>
        <v>3.18309141838554</v>
      </c>
      <c r="H1336" s="1" t="n">
        <v>2.5</v>
      </c>
      <c r="I1336" s="2" t="s">
        <v>129</v>
      </c>
      <c r="J1336" s="1" t="s">
        <v>149</v>
      </c>
      <c r="K1336" s="1" t="n">
        <v>10</v>
      </c>
    </row>
    <row r="1337" customFormat="false" ht="14.25" hidden="true" customHeight="false" outlineLevel="0" collapsed="false">
      <c r="A1337" s="1" t="n">
        <v>10</v>
      </c>
      <c r="B1337" s="1" t="s">
        <v>82</v>
      </c>
      <c r="C1337" s="1" t="s">
        <v>449</v>
      </c>
      <c r="D1337" s="23" t="s">
        <v>235</v>
      </c>
      <c r="E1337" s="1" t="s">
        <v>156</v>
      </c>
      <c r="F1337" s="2" t="s">
        <v>138</v>
      </c>
      <c r="G1337" s="21" t="n">
        <f aca="false">K1337/3.1416</f>
        <v>3.18309141838554</v>
      </c>
      <c r="H1337" s="1" t="n">
        <v>2.5</v>
      </c>
      <c r="I1337" s="2" t="s">
        <v>127</v>
      </c>
      <c r="J1337" s="1" t="s">
        <v>149</v>
      </c>
      <c r="K1337" s="1" t="n">
        <v>10</v>
      </c>
    </row>
    <row r="1338" customFormat="false" ht="14.25" hidden="true" customHeight="false" outlineLevel="0" collapsed="false">
      <c r="A1338" s="1" t="n">
        <v>11</v>
      </c>
      <c r="B1338" s="1" t="s">
        <v>82</v>
      </c>
      <c r="C1338" s="1" t="s">
        <v>449</v>
      </c>
      <c r="D1338" s="23"/>
      <c r="G1338" s="21" t="n">
        <f aca="false">K1338/3.1416</f>
        <v>2.54647313470843</v>
      </c>
      <c r="H1338" s="1" t="n">
        <v>4.5</v>
      </c>
      <c r="I1338" s="1" t="s">
        <v>129</v>
      </c>
      <c r="J1338" s="1" t="s">
        <v>149</v>
      </c>
      <c r="K1338" s="1" t="n">
        <v>8</v>
      </c>
    </row>
    <row r="1339" customFormat="false" ht="14.25" hidden="true" customHeight="false" outlineLevel="0" collapsed="false">
      <c r="A1339" s="1" t="n">
        <v>12</v>
      </c>
      <c r="B1339" s="1" t="s">
        <v>128</v>
      </c>
      <c r="C1339" s="1" t="s">
        <v>449</v>
      </c>
      <c r="D1339" s="23"/>
      <c r="G1339" s="21" t="n">
        <f aca="false">K1339/3.1416</f>
        <v>3.18309141838554</v>
      </c>
      <c r="H1339" s="1" t="n">
        <v>4</v>
      </c>
      <c r="I1339" s="1" t="s">
        <v>129</v>
      </c>
      <c r="J1339" s="1" t="s">
        <v>149</v>
      </c>
      <c r="K1339" s="1" t="n">
        <v>10</v>
      </c>
    </row>
    <row r="1340" customFormat="false" ht="14.25" hidden="true" customHeight="false" outlineLevel="0" collapsed="false">
      <c r="A1340" s="1" t="n">
        <v>14</v>
      </c>
      <c r="B1340" s="1" t="s">
        <v>131</v>
      </c>
      <c r="C1340" s="1" t="s">
        <v>449</v>
      </c>
      <c r="D1340" s="23" t="s">
        <v>403</v>
      </c>
      <c r="E1340" s="1" t="s">
        <v>156</v>
      </c>
      <c r="F1340" s="1" t="s">
        <v>120</v>
      </c>
      <c r="G1340" s="21" t="n">
        <f aca="false">K1340/3.1416</f>
        <v>2.54647313470843</v>
      </c>
      <c r="H1340" s="1" t="n">
        <v>5</v>
      </c>
      <c r="I1340" s="1" t="s">
        <v>127</v>
      </c>
      <c r="J1340" s="1" t="s">
        <v>149</v>
      </c>
      <c r="K1340" s="1" t="n">
        <v>8</v>
      </c>
    </row>
    <row r="1341" customFormat="false" ht="14.25" hidden="true" customHeight="false" outlineLevel="0" collapsed="false">
      <c r="A1341" s="1" t="n">
        <v>15</v>
      </c>
      <c r="B1341" s="1" t="s">
        <v>131</v>
      </c>
      <c r="C1341" s="1" t="s">
        <v>449</v>
      </c>
      <c r="D1341" s="23"/>
      <c r="G1341" s="21" t="n">
        <f aca="false">K1341/3.1416</f>
        <v>4.1380188439012</v>
      </c>
      <c r="H1341" s="1" t="n">
        <v>5</v>
      </c>
      <c r="I1341" s="1" t="s">
        <v>129</v>
      </c>
      <c r="J1341" s="1" t="s">
        <v>149</v>
      </c>
      <c r="K1341" s="1" t="n">
        <v>13</v>
      </c>
    </row>
    <row r="1342" customFormat="false" ht="14.25" hidden="true" customHeight="false" outlineLevel="0" collapsed="false">
      <c r="A1342" s="1" t="n">
        <v>15</v>
      </c>
      <c r="B1342" s="1" t="s">
        <v>131</v>
      </c>
      <c r="C1342" s="1" t="s">
        <v>449</v>
      </c>
      <c r="D1342" s="23"/>
      <c r="G1342" s="21" t="n">
        <f aca="false">K1342/3.1416</f>
        <v>3.18309141838554</v>
      </c>
      <c r="H1342" s="1" t="n">
        <v>5</v>
      </c>
      <c r="I1342" s="1" t="s">
        <v>129</v>
      </c>
      <c r="J1342" s="1" t="s">
        <v>149</v>
      </c>
      <c r="K1342" s="1" t="n">
        <v>10</v>
      </c>
    </row>
    <row r="1343" customFormat="false" ht="14.25" hidden="true" customHeight="false" outlineLevel="0" collapsed="false">
      <c r="A1343" s="1" t="n">
        <v>15</v>
      </c>
      <c r="B1343" s="1" t="s">
        <v>131</v>
      </c>
      <c r="C1343" s="1" t="s">
        <v>449</v>
      </c>
      <c r="D1343" s="23"/>
      <c r="G1343" s="21" t="n">
        <f aca="false">K1343/3.1416</f>
        <v>3.50140056022409</v>
      </c>
      <c r="H1343" s="1" t="n">
        <v>5</v>
      </c>
      <c r="I1343" s="1" t="s">
        <v>129</v>
      </c>
      <c r="J1343" s="1" t="s">
        <v>149</v>
      </c>
      <c r="K1343" s="1" t="n">
        <v>11</v>
      </c>
    </row>
    <row r="1344" customFormat="false" ht="14.25" hidden="true" customHeight="false" outlineLevel="0" collapsed="false">
      <c r="A1344" s="1" t="n">
        <v>16</v>
      </c>
      <c r="B1344" s="1" t="s">
        <v>131</v>
      </c>
      <c r="C1344" s="1" t="s">
        <v>449</v>
      </c>
      <c r="D1344" s="23"/>
      <c r="G1344" s="21" t="n">
        <f aca="false">K1344/3.1416</f>
        <v>4.1380188439012</v>
      </c>
      <c r="H1344" s="1" t="n">
        <v>5</v>
      </c>
      <c r="I1344" s="1" t="s">
        <v>129</v>
      </c>
      <c r="J1344" s="1" t="s">
        <v>149</v>
      </c>
      <c r="K1344" s="1" t="n">
        <v>13</v>
      </c>
    </row>
    <row r="1345" customFormat="false" ht="14.25" hidden="true" customHeight="false" outlineLevel="0" collapsed="false">
      <c r="A1345" s="1" t="n">
        <v>16</v>
      </c>
      <c r="B1345" s="1" t="s">
        <v>131</v>
      </c>
      <c r="C1345" s="1" t="s">
        <v>449</v>
      </c>
      <c r="D1345" s="23" t="s">
        <v>192</v>
      </c>
      <c r="E1345" s="1" t="s">
        <v>193</v>
      </c>
      <c r="F1345" s="2" t="s">
        <v>120</v>
      </c>
      <c r="G1345" s="21" t="n">
        <f aca="false">K1345/3.1416</f>
        <v>6.68449197860963</v>
      </c>
      <c r="H1345" s="1" t="n">
        <v>7</v>
      </c>
      <c r="I1345" s="1" t="s">
        <v>129</v>
      </c>
      <c r="J1345" s="1" t="s">
        <v>149</v>
      </c>
      <c r="K1345" s="1" t="n">
        <v>21</v>
      </c>
    </row>
    <row r="1346" customFormat="false" ht="14.25" hidden="true" customHeight="false" outlineLevel="0" collapsed="false">
      <c r="A1346" s="1" t="n">
        <v>17</v>
      </c>
      <c r="B1346" s="1" t="s">
        <v>128</v>
      </c>
      <c r="C1346" s="1" t="s">
        <v>449</v>
      </c>
      <c r="D1346" s="23" t="s">
        <v>192</v>
      </c>
      <c r="E1346" s="1" t="s">
        <v>193</v>
      </c>
      <c r="F1346" s="2" t="s">
        <v>120</v>
      </c>
      <c r="G1346" s="21" t="n">
        <f aca="false">K1346/3.1416</f>
        <v>4.45632798573975</v>
      </c>
      <c r="H1346" s="1" t="n">
        <v>7</v>
      </c>
      <c r="I1346" s="1" t="s">
        <v>129</v>
      </c>
      <c r="J1346" s="1" t="s">
        <v>149</v>
      </c>
      <c r="K1346" s="1" t="n">
        <v>14</v>
      </c>
    </row>
    <row r="1347" customFormat="false" ht="14.25" hidden="true" customHeight="false" outlineLevel="0" collapsed="false">
      <c r="A1347" s="1" t="n">
        <v>17</v>
      </c>
      <c r="B1347" s="1" t="s">
        <v>128</v>
      </c>
      <c r="C1347" s="1" t="s">
        <v>449</v>
      </c>
      <c r="D1347" s="23" t="s">
        <v>192</v>
      </c>
      <c r="E1347" s="1" t="s">
        <v>193</v>
      </c>
      <c r="F1347" s="2" t="s">
        <v>120</v>
      </c>
      <c r="G1347" s="21" t="n">
        <f aca="false">K1347/3.1416</f>
        <v>2.54647313470843</v>
      </c>
      <c r="H1347" s="1" t="n">
        <v>5</v>
      </c>
      <c r="I1347" s="1" t="s">
        <v>129</v>
      </c>
      <c r="J1347" s="1" t="s">
        <v>149</v>
      </c>
      <c r="K1347" s="1" t="n">
        <v>8</v>
      </c>
    </row>
    <row r="1348" customFormat="false" ht="14.25" hidden="true" customHeight="false" outlineLevel="0" collapsed="false">
      <c r="A1348" s="1" t="n">
        <v>18</v>
      </c>
      <c r="B1348" s="1" t="s">
        <v>128</v>
      </c>
      <c r="C1348" s="1" t="s">
        <v>449</v>
      </c>
      <c r="D1348" s="23" t="s">
        <v>192</v>
      </c>
      <c r="E1348" s="1" t="s">
        <v>193</v>
      </c>
      <c r="F1348" s="2" t="s">
        <v>120</v>
      </c>
      <c r="G1348" s="21" t="n">
        <f aca="false">K1348/3.1416</f>
        <v>4.1380188439012</v>
      </c>
      <c r="H1348" s="1" t="n">
        <v>6</v>
      </c>
      <c r="I1348" s="1" t="s">
        <v>129</v>
      </c>
      <c r="J1348" s="1" t="s">
        <v>149</v>
      </c>
      <c r="K1348" s="1" t="n">
        <v>13</v>
      </c>
    </row>
    <row r="1349" customFormat="false" ht="14.25" hidden="true" customHeight="false" outlineLevel="0" collapsed="false">
      <c r="A1349" s="1" t="n">
        <v>18</v>
      </c>
      <c r="B1349" s="1" t="s">
        <v>128</v>
      </c>
      <c r="C1349" s="1" t="s">
        <v>449</v>
      </c>
      <c r="D1349" s="23" t="s">
        <v>192</v>
      </c>
      <c r="E1349" s="1" t="s">
        <v>193</v>
      </c>
      <c r="F1349" s="2" t="s">
        <v>120</v>
      </c>
      <c r="G1349" s="21" t="n">
        <f aca="false">K1349/3.1416</f>
        <v>2.54647313470843</v>
      </c>
      <c r="H1349" s="1" t="n">
        <v>2</v>
      </c>
      <c r="I1349" s="1" t="s">
        <v>129</v>
      </c>
      <c r="J1349" s="1" t="s">
        <v>149</v>
      </c>
      <c r="K1349" s="1" t="n">
        <v>8</v>
      </c>
    </row>
    <row r="1350" customFormat="false" ht="14.25" hidden="true" customHeight="false" outlineLevel="0" collapsed="false">
      <c r="A1350" s="1" t="n">
        <v>18</v>
      </c>
      <c r="B1350" s="1" t="s">
        <v>128</v>
      </c>
      <c r="C1350" s="1" t="s">
        <v>449</v>
      </c>
      <c r="D1350" s="23" t="s">
        <v>192</v>
      </c>
      <c r="E1350" s="1" t="s">
        <v>193</v>
      </c>
      <c r="F1350" s="2" t="s">
        <v>120</v>
      </c>
      <c r="G1350" s="21" t="n">
        <f aca="false">K1350/3.1416</f>
        <v>4.7746371275783</v>
      </c>
      <c r="H1350" s="1" t="n">
        <v>7</v>
      </c>
      <c r="I1350" s="1" t="s">
        <v>129</v>
      </c>
      <c r="J1350" s="1" t="s">
        <v>149</v>
      </c>
      <c r="K1350" s="1" t="n">
        <v>15</v>
      </c>
    </row>
    <row r="1351" customFormat="false" ht="14.25" hidden="true" customHeight="false" outlineLevel="0" collapsed="false">
      <c r="A1351" s="1" t="n">
        <v>18</v>
      </c>
      <c r="B1351" s="1" t="s">
        <v>128</v>
      </c>
      <c r="C1351" s="1" t="s">
        <v>449</v>
      </c>
      <c r="D1351" s="23" t="s">
        <v>192</v>
      </c>
      <c r="E1351" s="1" t="s">
        <v>193</v>
      </c>
      <c r="F1351" s="2" t="s">
        <v>120</v>
      </c>
      <c r="G1351" s="21" t="n">
        <f aca="false">K1351/3.1416</f>
        <v>3.18309141838554</v>
      </c>
      <c r="H1351" s="1" t="n">
        <v>5</v>
      </c>
      <c r="I1351" s="1" t="s">
        <v>129</v>
      </c>
      <c r="J1351" s="1" t="s">
        <v>149</v>
      </c>
      <c r="K1351" s="1" t="n">
        <v>10</v>
      </c>
    </row>
    <row r="1352" customFormat="false" ht="14.25" hidden="true" customHeight="false" outlineLevel="0" collapsed="false">
      <c r="A1352" s="1" t="n">
        <v>18</v>
      </c>
      <c r="B1352" s="1" t="s">
        <v>128</v>
      </c>
      <c r="C1352" s="1" t="s">
        <v>449</v>
      </c>
      <c r="D1352" s="23" t="s">
        <v>192</v>
      </c>
      <c r="E1352" s="1" t="s">
        <v>193</v>
      </c>
      <c r="F1352" s="2" t="s">
        <v>120</v>
      </c>
      <c r="G1352" s="21" t="n">
        <f aca="false">K1352/3.1416</f>
        <v>5.41125541125541</v>
      </c>
      <c r="H1352" s="1" t="n">
        <v>7</v>
      </c>
      <c r="I1352" s="1" t="s">
        <v>129</v>
      </c>
      <c r="J1352" s="1" t="s">
        <v>149</v>
      </c>
      <c r="K1352" s="1" t="n">
        <v>17</v>
      </c>
    </row>
    <row r="1353" customFormat="false" ht="14.25" hidden="true" customHeight="false" outlineLevel="0" collapsed="false">
      <c r="A1353" s="1" t="n">
        <v>18</v>
      </c>
      <c r="B1353" s="1" t="s">
        <v>128</v>
      </c>
      <c r="C1353" s="1" t="s">
        <v>449</v>
      </c>
      <c r="D1353" s="23" t="s">
        <v>192</v>
      </c>
      <c r="E1353" s="1" t="s">
        <v>193</v>
      </c>
      <c r="F1353" s="1" t="s">
        <v>120</v>
      </c>
      <c r="G1353" s="21" t="n">
        <f aca="false">K1353/3.1416</f>
        <v>2.54647313470843</v>
      </c>
      <c r="H1353" s="1" t="n">
        <v>6</v>
      </c>
      <c r="I1353" s="1" t="s">
        <v>127</v>
      </c>
      <c r="J1353" s="1" t="s">
        <v>149</v>
      </c>
      <c r="K1353" s="1" t="n">
        <v>8</v>
      </c>
    </row>
    <row r="1354" customFormat="false" ht="14.25" hidden="true" customHeight="false" outlineLevel="0" collapsed="false">
      <c r="A1354" s="1" t="n">
        <v>18</v>
      </c>
      <c r="B1354" s="1" t="s">
        <v>128</v>
      </c>
      <c r="C1354" s="1" t="s">
        <v>449</v>
      </c>
      <c r="D1354" s="23"/>
      <c r="G1354" s="21" t="n">
        <f aca="false">K1354/3.1416</f>
        <v>2.54647313470843</v>
      </c>
      <c r="H1354" s="1" t="n">
        <v>5</v>
      </c>
      <c r="I1354" s="1" t="s">
        <v>127</v>
      </c>
      <c r="J1354" s="1" t="s">
        <v>149</v>
      </c>
      <c r="K1354" s="1" t="n">
        <v>8</v>
      </c>
    </row>
    <row r="1355" customFormat="false" ht="14.25" hidden="true" customHeight="false" outlineLevel="0" collapsed="false">
      <c r="A1355" s="1" t="n">
        <v>20</v>
      </c>
      <c r="B1355" s="1" t="s">
        <v>128</v>
      </c>
      <c r="C1355" s="1" t="s">
        <v>449</v>
      </c>
      <c r="D1355" s="23" t="s">
        <v>192</v>
      </c>
      <c r="E1355" s="1" t="s">
        <v>193</v>
      </c>
      <c r="F1355" s="1" t="s">
        <v>120</v>
      </c>
      <c r="G1355" s="21" t="n">
        <f aca="false">K1355/3.1416</f>
        <v>3.18309141838554</v>
      </c>
      <c r="H1355" s="1" t="n">
        <v>6</v>
      </c>
      <c r="I1355" s="1" t="s">
        <v>127</v>
      </c>
      <c r="J1355" s="1" t="s">
        <v>149</v>
      </c>
      <c r="K1355" s="1" t="n">
        <v>10</v>
      </c>
    </row>
    <row r="1356" customFormat="false" ht="14.25" hidden="true" customHeight="false" outlineLevel="0" collapsed="false">
      <c r="A1356" s="1" t="n">
        <v>21</v>
      </c>
      <c r="B1356" s="1" t="s">
        <v>135</v>
      </c>
      <c r="C1356" s="1" t="s">
        <v>449</v>
      </c>
      <c r="D1356" s="23" t="s">
        <v>192</v>
      </c>
      <c r="E1356" s="1" t="s">
        <v>193</v>
      </c>
      <c r="F1356" s="1" t="s">
        <v>120</v>
      </c>
      <c r="G1356" s="21" t="n">
        <f aca="false">K1356/3.1416</f>
        <v>2.54647313470843</v>
      </c>
      <c r="H1356" s="1" t="n">
        <v>3</v>
      </c>
      <c r="I1356" s="1" t="s">
        <v>129</v>
      </c>
      <c r="J1356" s="1" t="s">
        <v>149</v>
      </c>
      <c r="K1356" s="1" t="n">
        <v>8</v>
      </c>
    </row>
    <row r="1357" customFormat="false" ht="14.25" hidden="true" customHeight="false" outlineLevel="0" collapsed="false">
      <c r="A1357" s="1" t="n">
        <v>22</v>
      </c>
      <c r="B1357" s="1" t="s">
        <v>135</v>
      </c>
      <c r="C1357" s="1" t="s">
        <v>449</v>
      </c>
      <c r="D1357" s="23" t="s">
        <v>451</v>
      </c>
      <c r="E1357" s="1" t="s">
        <v>165</v>
      </c>
      <c r="F1357" s="1" t="s">
        <v>138</v>
      </c>
      <c r="G1357" s="21" t="n">
        <f aca="false">K1357/3.1416</f>
        <v>2.54647313470843</v>
      </c>
      <c r="H1357" s="1" t="n">
        <v>5</v>
      </c>
      <c r="I1357" s="1" t="s">
        <v>134</v>
      </c>
      <c r="J1357" s="1" t="s">
        <v>149</v>
      </c>
      <c r="K1357" s="1" t="n">
        <v>8</v>
      </c>
    </row>
    <row r="1358" customFormat="false" ht="14.25" hidden="true" customHeight="false" outlineLevel="0" collapsed="false">
      <c r="A1358" s="1" t="n">
        <v>23</v>
      </c>
      <c r="B1358" s="1" t="s">
        <v>135</v>
      </c>
      <c r="C1358" s="1" t="s">
        <v>449</v>
      </c>
      <c r="D1358" s="23"/>
      <c r="E1358" s="1" t="s">
        <v>156</v>
      </c>
      <c r="F1358" s="1" t="s">
        <v>120</v>
      </c>
      <c r="G1358" s="21" t="n">
        <f aca="false">K1358/3.1416</f>
        <v>4.45632798573975</v>
      </c>
      <c r="H1358" s="1" t="n">
        <v>5</v>
      </c>
      <c r="I1358" s="1" t="s">
        <v>129</v>
      </c>
      <c r="J1358" s="1" t="s">
        <v>149</v>
      </c>
      <c r="K1358" s="1" t="n">
        <v>14</v>
      </c>
    </row>
    <row r="1359" customFormat="false" ht="14.25" hidden="true" customHeight="false" outlineLevel="0" collapsed="false">
      <c r="A1359" s="1" t="n">
        <v>24</v>
      </c>
      <c r="B1359" s="1" t="s">
        <v>135</v>
      </c>
      <c r="C1359" s="1" t="s">
        <v>449</v>
      </c>
      <c r="D1359" s="23"/>
      <c r="G1359" s="21" t="n">
        <f aca="false">K1359/3.1416</f>
        <v>2.86478227654698</v>
      </c>
      <c r="H1359" s="1" t="n">
        <v>5</v>
      </c>
      <c r="I1359" s="1" t="s">
        <v>129</v>
      </c>
      <c r="J1359" s="1" t="s">
        <v>149</v>
      </c>
      <c r="K1359" s="1" t="n">
        <v>9</v>
      </c>
    </row>
    <row r="1360" customFormat="false" ht="14.25" hidden="true" customHeight="false" outlineLevel="0" collapsed="false">
      <c r="A1360" s="1" t="n">
        <v>25</v>
      </c>
      <c r="B1360" s="1" t="s">
        <v>135</v>
      </c>
      <c r="C1360" s="1" t="s">
        <v>449</v>
      </c>
      <c r="D1360" s="23" t="s">
        <v>192</v>
      </c>
      <c r="E1360" s="1" t="s">
        <v>193</v>
      </c>
      <c r="F1360" s="1" t="s">
        <v>120</v>
      </c>
      <c r="G1360" s="21" t="n">
        <f aca="false">K1360/3.1416</f>
        <v>2.54647313470843</v>
      </c>
      <c r="H1360" s="1" t="n">
        <v>4</v>
      </c>
      <c r="I1360" s="1" t="s">
        <v>134</v>
      </c>
      <c r="J1360" s="1" t="s">
        <v>149</v>
      </c>
      <c r="K1360" s="1" t="n">
        <v>8</v>
      </c>
    </row>
    <row r="1361" customFormat="false" ht="14.25" hidden="true" customHeight="false" outlineLevel="0" collapsed="false">
      <c r="A1361" s="1" t="n">
        <v>27</v>
      </c>
      <c r="B1361" s="1" t="s">
        <v>82</v>
      </c>
      <c r="C1361" s="1" t="s">
        <v>449</v>
      </c>
      <c r="D1361" s="23" t="s">
        <v>192</v>
      </c>
      <c r="E1361" s="1" t="s">
        <v>193</v>
      </c>
      <c r="F1361" s="1" t="s">
        <v>120</v>
      </c>
      <c r="G1361" s="21" t="n">
        <f aca="false">K1361/3.1416</f>
        <v>4.1380188439012</v>
      </c>
      <c r="H1361" s="1" t="n">
        <v>5</v>
      </c>
      <c r="I1361" s="1" t="s">
        <v>129</v>
      </c>
      <c r="J1361" s="1" t="s">
        <v>149</v>
      </c>
      <c r="K1361" s="1" t="n">
        <v>13</v>
      </c>
    </row>
    <row r="1362" customFormat="false" ht="14.25" hidden="true" customHeight="false" outlineLevel="0" collapsed="false">
      <c r="A1362" s="1" t="n">
        <v>27</v>
      </c>
      <c r="B1362" s="1" t="s">
        <v>82</v>
      </c>
      <c r="C1362" s="1" t="s">
        <v>449</v>
      </c>
      <c r="D1362" s="23" t="s">
        <v>192</v>
      </c>
      <c r="E1362" s="1" t="s">
        <v>193</v>
      </c>
      <c r="F1362" s="1" t="s">
        <v>120</v>
      </c>
      <c r="G1362" s="21" t="n">
        <f aca="false">K1362/3.1416</f>
        <v>4.1380188439012</v>
      </c>
      <c r="H1362" s="1" t="n">
        <v>7</v>
      </c>
      <c r="I1362" s="1" t="s">
        <v>129</v>
      </c>
      <c r="J1362" s="1" t="s">
        <v>149</v>
      </c>
      <c r="K1362" s="1" t="n">
        <v>13</v>
      </c>
    </row>
    <row r="1363" customFormat="false" ht="14.25" hidden="true" customHeight="false" outlineLevel="0" collapsed="false">
      <c r="A1363" s="1" t="n">
        <v>27</v>
      </c>
      <c r="B1363" s="1" t="s">
        <v>82</v>
      </c>
      <c r="C1363" s="1" t="s">
        <v>449</v>
      </c>
      <c r="D1363" s="23" t="s">
        <v>192</v>
      </c>
      <c r="E1363" s="1" t="s">
        <v>193</v>
      </c>
      <c r="F1363" s="1" t="s">
        <v>120</v>
      </c>
      <c r="G1363" s="21" t="n">
        <f aca="false">K1363/3.1416</f>
        <v>4.7746371275783</v>
      </c>
      <c r="H1363" s="1" t="n">
        <v>6</v>
      </c>
      <c r="I1363" s="1" t="s">
        <v>127</v>
      </c>
      <c r="J1363" s="1" t="s">
        <v>149</v>
      </c>
      <c r="K1363" s="1" t="n">
        <v>15</v>
      </c>
    </row>
    <row r="1364" customFormat="false" ht="14.25" hidden="true" customHeight="false" outlineLevel="0" collapsed="false">
      <c r="A1364" s="1" t="n">
        <v>27</v>
      </c>
      <c r="B1364" s="1" t="s">
        <v>82</v>
      </c>
      <c r="C1364" s="1" t="s">
        <v>449</v>
      </c>
      <c r="D1364" s="23" t="s">
        <v>192</v>
      </c>
      <c r="E1364" s="1" t="s">
        <v>193</v>
      </c>
      <c r="F1364" s="1" t="s">
        <v>120</v>
      </c>
      <c r="G1364" s="21" t="n">
        <f aca="false">K1364/3.1416</f>
        <v>5.09294626941686</v>
      </c>
      <c r="H1364" s="1" t="n">
        <v>8</v>
      </c>
      <c r="I1364" s="1" t="s">
        <v>129</v>
      </c>
      <c r="J1364" s="1" t="s">
        <v>149</v>
      </c>
      <c r="K1364" s="1" t="n">
        <v>16</v>
      </c>
    </row>
    <row r="1365" customFormat="false" ht="14.25" hidden="true" customHeight="false" outlineLevel="0" collapsed="false">
      <c r="A1365" s="1" t="n">
        <v>27</v>
      </c>
      <c r="B1365" s="1" t="s">
        <v>82</v>
      </c>
      <c r="C1365" s="1" t="s">
        <v>449</v>
      </c>
      <c r="D1365" s="23" t="s">
        <v>192</v>
      </c>
      <c r="E1365" s="1" t="s">
        <v>193</v>
      </c>
      <c r="F1365" s="1" t="s">
        <v>120</v>
      </c>
      <c r="G1365" s="21" t="n">
        <f aca="false">K1365/3.1416</f>
        <v>2.86478227654698</v>
      </c>
      <c r="H1365" s="1" t="n">
        <v>7</v>
      </c>
      <c r="I1365" s="1" t="s">
        <v>129</v>
      </c>
      <c r="J1365" s="1" t="s">
        <v>149</v>
      </c>
      <c r="K1365" s="1" t="n">
        <v>9</v>
      </c>
    </row>
    <row r="1366" customFormat="false" ht="14.25" hidden="true" customHeight="false" outlineLevel="0" collapsed="false">
      <c r="A1366" s="1" t="n">
        <v>28</v>
      </c>
      <c r="B1366" s="1" t="s">
        <v>82</v>
      </c>
      <c r="C1366" s="1" t="s">
        <v>449</v>
      </c>
      <c r="D1366" s="23" t="s">
        <v>446</v>
      </c>
      <c r="E1366" s="1" t="s">
        <v>447</v>
      </c>
      <c r="F1366" s="1" t="s">
        <v>120</v>
      </c>
      <c r="G1366" s="21" t="n">
        <f aca="false">K1366/3.1416</f>
        <v>3.18309141838554</v>
      </c>
      <c r="H1366" s="1" t="n">
        <v>5</v>
      </c>
      <c r="I1366" s="1" t="s">
        <v>129</v>
      </c>
      <c r="J1366" s="1" t="s">
        <v>149</v>
      </c>
      <c r="K1366" s="1" t="n">
        <v>10</v>
      </c>
    </row>
    <row r="1367" customFormat="false" ht="14.25" hidden="true" customHeight="false" outlineLevel="0" collapsed="false">
      <c r="A1367" s="1" t="n">
        <v>29</v>
      </c>
      <c r="B1367" s="1" t="s">
        <v>131</v>
      </c>
      <c r="C1367" s="1" t="s">
        <v>449</v>
      </c>
      <c r="D1367" s="23"/>
      <c r="G1367" s="21" t="n">
        <f aca="false">K1367/3.1416</f>
        <v>2.54647313470843</v>
      </c>
      <c r="H1367" s="1" t="n">
        <v>4</v>
      </c>
      <c r="I1367" s="1" t="s">
        <v>129</v>
      </c>
      <c r="J1367" s="1" t="s">
        <v>149</v>
      </c>
      <c r="K1367" s="1" t="n">
        <v>8</v>
      </c>
    </row>
    <row r="1368" customFormat="false" ht="14.25" hidden="true" customHeight="false" outlineLevel="0" collapsed="false">
      <c r="A1368" s="1" t="n">
        <v>29</v>
      </c>
      <c r="B1368" s="1" t="s">
        <v>131</v>
      </c>
      <c r="C1368" s="1" t="s">
        <v>449</v>
      </c>
      <c r="D1368" s="23"/>
      <c r="G1368" s="21" t="n">
        <f aca="false">K1368/3.1416</f>
        <v>5.41125541125541</v>
      </c>
      <c r="H1368" s="1" t="n">
        <v>7</v>
      </c>
      <c r="I1368" s="1" t="s">
        <v>129</v>
      </c>
      <c r="J1368" s="1" t="s">
        <v>149</v>
      </c>
      <c r="K1368" s="1" t="n">
        <v>17</v>
      </c>
    </row>
    <row r="1369" customFormat="false" ht="14.25" hidden="true" customHeight="false" outlineLevel="0" collapsed="false">
      <c r="A1369" s="1" t="n">
        <v>29</v>
      </c>
      <c r="B1369" s="1" t="s">
        <v>131</v>
      </c>
      <c r="C1369" s="1" t="s">
        <v>449</v>
      </c>
      <c r="D1369" s="23" t="s">
        <v>192</v>
      </c>
      <c r="E1369" s="1" t="s">
        <v>193</v>
      </c>
      <c r="F1369" s="1" t="s">
        <v>120</v>
      </c>
      <c r="G1369" s="21" t="n">
        <f aca="false">K1369/3.1416</f>
        <v>3.50140056022409</v>
      </c>
      <c r="H1369" s="1" t="n">
        <v>5</v>
      </c>
      <c r="I1369" s="1" t="s">
        <v>129</v>
      </c>
      <c r="J1369" s="1" t="s">
        <v>149</v>
      </c>
      <c r="K1369" s="1" t="n">
        <v>11</v>
      </c>
    </row>
    <row r="1370" customFormat="false" ht="14.25" hidden="true" customHeight="false" outlineLevel="0" collapsed="false">
      <c r="A1370" s="1" t="n">
        <v>29</v>
      </c>
      <c r="B1370" s="1" t="s">
        <v>131</v>
      </c>
      <c r="C1370" s="1" t="s">
        <v>449</v>
      </c>
      <c r="D1370" s="23" t="s">
        <v>192</v>
      </c>
      <c r="E1370" s="1" t="s">
        <v>193</v>
      </c>
      <c r="F1370" s="1" t="s">
        <v>120</v>
      </c>
      <c r="G1370" s="21" t="n">
        <f aca="false">K1370/3.1416</f>
        <v>2.54647313470843</v>
      </c>
      <c r="H1370" s="1" t="n">
        <v>4</v>
      </c>
      <c r="I1370" s="1" t="s">
        <v>129</v>
      </c>
      <c r="J1370" s="1" t="s">
        <v>149</v>
      </c>
      <c r="K1370" s="1" t="n">
        <v>8</v>
      </c>
    </row>
    <row r="1371" customFormat="false" ht="14.25" hidden="true" customHeight="false" outlineLevel="0" collapsed="false">
      <c r="A1371" s="1" t="n">
        <v>29</v>
      </c>
      <c r="B1371" s="1" t="s">
        <v>131</v>
      </c>
      <c r="C1371" s="1" t="s">
        <v>449</v>
      </c>
      <c r="D1371" s="23" t="s">
        <v>192</v>
      </c>
      <c r="E1371" s="1" t="s">
        <v>193</v>
      </c>
      <c r="F1371" s="1" t="s">
        <v>120</v>
      </c>
      <c r="G1371" s="21" t="n">
        <f aca="false">K1371/3.1416</f>
        <v>2.54647313470843</v>
      </c>
      <c r="H1371" s="1" t="n">
        <v>5</v>
      </c>
      <c r="I1371" s="1" t="s">
        <v>129</v>
      </c>
      <c r="J1371" s="1" t="s">
        <v>149</v>
      </c>
      <c r="K1371" s="1" t="n">
        <v>8</v>
      </c>
    </row>
    <row r="1372" customFormat="false" ht="14.25" hidden="true" customHeight="false" outlineLevel="0" collapsed="false">
      <c r="A1372" s="1" t="n">
        <v>30</v>
      </c>
      <c r="B1372" s="1" t="s">
        <v>131</v>
      </c>
      <c r="C1372" s="1" t="s">
        <v>449</v>
      </c>
      <c r="D1372" s="23" t="s">
        <v>192</v>
      </c>
      <c r="E1372" s="1" t="s">
        <v>193</v>
      </c>
      <c r="F1372" s="1" t="s">
        <v>138</v>
      </c>
      <c r="G1372" s="21" t="n">
        <f aca="false">K1372/3.1416</f>
        <v>3.18309141838554</v>
      </c>
      <c r="H1372" s="1" t="n">
        <v>7</v>
      </c>
      <c r="I1372" s="1" t="s">
        <v>129</v>
      </c>
      <c r="J1372" s="1" t="s">
        <v>149</v>
      </c>
      <c r="K1372" s="1" t="n">
        <v>10</v>
      </c>
    </row>
    <row r="1373" customFormat="false" ht="14.25" hidden="true" customHeight="false" outlineLevel="0" collapsed="false">
      <c r="A1373" s="1" t="n">
        <v>30</v>
      </c>
      <c r="B1373" s="1" t="s">
        <v>131</v>
      </c>
      <c r="C1373" s="1" t="s">
        <v>449</v>
      </c>
      <c r="D1373" s="23" t="s">
        <v>192</v>
      </c>
      <c r="E1373" s="1" t="s">
        <v>193</v>
      </c>
      <c r="F1373" s="1" t="s">
        <v>138</v>
      </c>
      <c r="G1373" s="21" t="n">
        <f aca="false">K1373/3.1416</f>
        <v>2.54647313470843</v>
      </c>
      <c r="H1373" s="1" t="n">
        <v>5</v>
      </c>
      <c r="I1373" s="1" t="s">
        <v>129</v>
      </c>
      <c r="J1373" s="1" t="s">
        <v>149</v>
      </c>
      <c r="K1373" s="1" t="n">
        <v>8</v>
      </c>
    </row>
    <row r="1374" customFormat="false" ht="14.25" hidden="true" customHeight="false" outlineLevel="0" collapsed="false">
      <c r="A1374" s="1" t="n">
        <v>30</v>
      </c>
      <c r="B1374" s="1" t="s">
        <v>131</v>
      </c>
      <c r="C1374" s="1" t="s">
        <v>449</v>
      </c>
      <c r="D1374" s="23" t="s">
        <v>192</v>
      </c>
      <c r="E1374" s="1" t="s">
        <v>193</v>
      </c>
      <c r="F1374" s="1" t="s">
        <v>138</v>
      </c>
      <c r="G1374" s="21" t="n">
        <f aca="false">K1374/3.1416</f>
        <v>5.09294626941686</v>
      </c>
      <c r="H1374" s="1" t="n">
        <v>7</v>
      </c>
      <c r="I1374" s="1" t="s">
        <v>129</v>
      </c>
      <c r="J1374" s="1" t="s">
        <v>149</v>
      </c>
      <c r="K1374" s="1" t="n">
        <v>16</v>
      </c>
    </row>
    <row r="1375" customFormat="false" ht="14.25" hidden="true" customHeight="false" outlineLevel="0" collapsed="false">
      <c r="A1375" s="1" t="n">
        <v>30</v>
      </c>
      <c r="B1375" s="1" t="s">
        <v>131</v>
      </c>
      <c r="C1375" s="1" t="s">
        <v>449</v>
      </c>
      <c r="D1375" s="23" t="s">
        <v>192</v>
      </c>
      <c r="E1375" s="1" t="s">
        <v>193</v>
      </c>
      <c r="F1375" s="1" t="s">
        <v>138</v>
      </c>
      <c r="G1375" s="21" t="n">
        <f aca="false">K1375/3.1416</f>
        <v>4.45632798573975</v>
      </c>
      <c r="H1375" s="1" t="n">
        <v>7</v>
      </c>
      <c r="I1375" s="1" t="s">
        <v>129</v>
      </c>
      <c r="J1375" s="1" t="s">
        <v>149</v>
      </c>
      <c r="K1375" s="1" t="n">
        <v>14</v>
      </c>
    </row>
    <row r="1376" customFormat="false" ht="14.25" hidden="true" customHeight="false" outlineLevel="0" collapsed="false">
      <c r="A1376" s="1" t="n">
        <v>30</v>
      </c>
      <c r="B1376" s="1" t="s">
        <v>131</v>
      </c>
      <c r="C1376" s="1" t="s">
        <v>449</v>
      </c>
      <c r="D1376" s="23" t="s">
        <v>192</v>
      </c>
      <c r="E1376" s="1" t="s">
        <v>193</v>
      </c>
      <c r="F1376" s="1" t="s">
        <v>138</v>
      </c>
      <c r="G1376" s="21" t="n">
        <f aca="false">K1376/3.1416</f>
        <v>2.54647313470843</v>
      </c>
      <c r="H1376" s="1" t="n">
        <v>5</v>
      </c>
      <c r="I1376" s="1" t="s">
        <v>129</v>
      </c>
      <c r="J1376" s="1" t="s">
        <v>149</v>
      </c>
      <c r="K1376" s="1" t="n">
        <v>8</v>
      </c>
    </row>
    <row r="1377" customFormat="false" ht="14.25" hidden="true" customHeight="false" outlineLevel="0" collapsed="false">
      <c r="A1377" s="1" t="n">
        <v>30</v>
      </c>
      <c r="B1377" s="1" t="s">
        <v>131</v>
      </c>
      <c r="C1377" s="1" t="s">
        <v>449</v>
      </c>
      <c r="D1377" s="23" t="s">
        <v>192</v>
      </c>
      <c r="E1377" s="1" t="s">
        <v>193</v>
      </c>
      <c r="F1377" s="1" t="s">
        <v>120</v>
      </c>
      <c r="G1377" s="21" t="n">
        <f aca="false">K1377/3.1416</f>
        <v>2.54647313470843</v>
      </c>
      <c r="H1377" s="1" t="n">
        <v>5</v>
      </c>
      <c r="I1377" s="1" t="s">
        <v>127</v>
      </c>
      <c r="J1377" s="1" t="s">
        <v>149</v>
      </c>
      <c r="K1377" s="1" t="n">
        <v>8</v>
      </c>
    </row>
    <row r="1378" customFormat="false" ht="14.25" hidden="true" customHeight="false" outlineLevel="0" collapsed="false">
      <c r="A1378" s="1" t="n">
        <v>30</v>
      </c>
      <c r="B1378" s="1" t="s">
        <v>131</v>
      </c>
      <c r="C1378" s="1" t="s">
        <v>449</v>
      </c>
      <c r="D1378" s="23" t="s">
        <v>192</v>
      </c>
      <c r="E1378" s="1" t="s">
        <v>193</v>
      </c>
      <c r="F1378" s="1" t="s">
        <v>138</v>
      </c>
      <c r="G1378" s="21" t="n">
        <f aca="false">K1378/3.1416</f>
        <v>3.18309141838554</v>
      </c>
      <c r="H1378" s="1" t="n">
        <v>7</v>
      </c>
      <c r="I1378" s="1" t="s">
        <v>129</v>
      </c>
      <c r="J1378" s="1" t="s">
        <v>130</v>
      </c>
      <c r="K1378" s="1" t="n">
        <v>10</v>
      </c>
    </row>
    <row r="1379" customFormat="false" ht="14.25" hidden="true" customHeight="false" outlineLevel="0" collapsed="false">
      <c r="A1379" s="1" t="n">
        <v>30</v>
      </c>
      <c r="B1379" s="1" t="s">
        <v>131</v>
      </c>
      <c r="C1379" s="1" t="s">
        <v>449</v>
      </c>
      <c r="D1379" s="23" t="s">
        <v>349</v>
      </c>
      <c r="E1379" s="1" t="s">
        <v>350</v>
      </c>
      <c r="F1379" s="1" t="s">
        <v>138</v>
      </c>
      <c r="G1379" s="21" t="n">
        <f aca="false">K1379/3.1416</f>
        <v>2.54647313470843</v>
      </c>
      <c r="H1379" s="1" t="n">
        <v>4</v>
      </c>
      <c r="I1379" s="1" t="s">
        <v>129</v>
      </c>
      <c r="J1379" s="1" t="s">
        <v>149</v>
      </c>
      <c r="K1379" s="1" t="n">
        <v>8</v>
      </c>
    </row>
    <row r="1380" customFormat="false" ht="14.25" hidden="true" customHeight="false" outlineLevel="0" collapsed="false">
      <c r="A1380" s="1" t="n">
        <v>30</v>
      </c>
      <c r="B1380" s="1" t="s">
        <v>131</v>
      </c>
      <c r="C1380" s="1" t="s">
        <v>449</v>
      </c>
      <c r="D1380" s="23"/>
      <c r="E1380" s="1" t="s">
        <v>156</v>
      </c>
      <c r="F1380" s="1" t="s">
        <v>120</v>
      </c>
      <c r="G1380" s="21" t="n">
        <f aca="false">K1380/3.1416</f>
        <v>4.7746371275783</v>
      </c>
      <c r="H1380" s="1" t="n">
        <v>6</v>
      </c>
      <c r="I1380" s="1" t="s">
        <v>129</v>
      </c>
      <c r="J1380" s="1" t="s">
        <v>149</v>
      </c>
      <c r="K1380" s="1" t="n">
        <v>15</v>
      </c>
    </row>
    <row r="1381" customFormat="false" ht="14.25" hidden="true" customHeight="false" outlineLevel="0" collapsed="false">
      <c r="A1381" s="1" t="n">
        <v>31</v>
      </c>
      <c r="B1381" s="1" t="s">
        <v>131</v>
      </c>
      <c r="C1381" s="1" t="s">
        <v>449</v>
      </c>
      <c r="D1381" s="23"/>
      <c r="G1381" s="21" t="n">
        <f aca="false">K1381/3.1416</f>
        <v>2.54647313470843</v>
      </c>
      <c r="H1381" s="1" t="n">
        <v>4</v>
      </c>
      <c r="I1381" s="1" t="s">
        <v>129</v>
      </c>
      <c r="J1381" s="1" t="s">
        <v>149</v>
      </c>
      <c r="K1381" s="1" t="n">
        <v>8</v>
      </c>
    </row>
    <row r="1382" customFormat="false" ht="14.25" hidden="true" customHeight="false" outlineLevel="0" collapsed="false">
      <c r="A1382" s="1" t="n">
        <v>2</v>
      </c>
      <c r="B1382" s="1" t="s">
        <v>72</v>
      </c>
      <c r="C1382" s="1" t="s">
        <v>449</v>
      </c>
      <c r="D1382" s="23" t="s">
        <v>192</v>
      </c>
      <c r="E1382" s="1" t="s">
        <v>193</v>
      </c>
      <c r="F1382" s="1" t="s">
        <v>120</v>
      </c>
      <c r="G1382" s="21" t="n">
        <f aca="false">ROUND(K1382/PI(),0)</f>
        <v>3</v>
      </c>
      <c r="H1382" s="1" t="n">
        <v>7</v>
      </c>
      <c r="I1382" s="1" t="s">
        <v>129</v>
      </c>
      <c r="J1382" s="1" t="s">
        <v>162</v>
      </c>
      <c r="K1382" s="1" t="n">
        <v>9</v>
      </c>
    </row>
    <row r="1383" customFormat="false" ht="14.25" hidden="true" customHeight="false" outlineLevel="0" collapsed="false">
      <c r="A1383" s="1" t="n">
        <v>2</v>
      </c>
      <c r="B1383" s="1" t="s">
        <v>82</v>
      </c>
      <c r="C1383" s="1" t="s">
        <v>452</v>
      </c>
      <c r="D1383" s="23" t="s">
        <v>348</v>
      </c>
      <c r="E1383" s="1" t="s">
        <v>210</v>
      </c>
      <c r="F1383" s="1" t="s">
        <v>138</v>
      </c>
      <c r="G1383" s="21" t="n">
        <f aca="false">K1383/3.1416</f>
        <v>4.1380188439012</v>
      </c>
      <c r="H1383" s="1" t="n">
        <v>0</v>
      </c>
      <c r="I1383" s="2" t="s">
        <v>74</v>
      </c>
      <c r="J1383" s="1" t="s">
        <v>453</v>
      </c>
      <c r="K1383" s="1" t="n">
        <v>13</v>
      </c>
    </row>
    <row r="1384" customFormat="false" ht="14.25" hidden="true" customHeight="false" outlineLevel="0" collapsed="false">
      <c r="A1384" s="1" t="n">
        <v>2</v>
      </c>
      <c r="B1384" s="1" t="s">
        <v>82</v>
      </c>
      <c r="C1384" s="1" t="s">
        <v>452</v>
      </c>
      <c r="D1384" s="23" t="s">
        <v>348</v>
      </c>
      <c r="E1384" s="1" t="s">
        <v>210</v>
      </c>
      <c r="F1384" s="1" t="s">
        <v>138</v>
      </c>
      <c r="G1384" s="21" t="n">
        <f aca="false">K1384/3.1416</f>
        <v>4.1380188439012</v>
      </c>
      <c r="H1384" s="1" t="n">
        <v>0</v>
      </c>
      <c r="I1384" s="2" t="s">
        <v>74</v>
      </c>
      <c r="J1384" s="1" t="s">
        <v>453</v>
      </c>
      <c r="K1384" s="1" t="n">
        <v>13</v>
      </c>
    </row>
    <row r="1385" customFormat="false" ht="14.25" hidden="true" customHeight="false" outlineLevel="0" collapsed="false">
      <c r="A1385" s="1" t="n">
        <v>15</v>
      </c>
      <c r="B1385" s="1" t="s">
        <v>131</v>
      </c>
      <c r="C1385" s="1" t="s">
        <v>452</v>
      </c>
      <c r="D1385" s="23" t="s">
        <v>348</v>
      </c>
      <c r="E1385" s="1" t="s">
        <v>210</v>
      </c>
      <c r="F1385" s="1" t="s">
        <v>138</v>
      </c>
      <c r="G1385" s="21" t="n">
        <f aca="false">K1385/3.1416</f>
        <v>2.54647313470843</v>
      </c>
      <c r="H1385" s="1" t="n">
        <v>3</v>
      </c>
      <c r="I1385" s="1" t="s">
        <v>129</v>
      </c>
      <c r="J1385" s="1" t="s">
        <v>149</v>
      </c>
      <c r="K1385" s="1" t="n">
        <v>8</v>
      </c>
    </row>
    <row r="1386" customFormat="false" ht="14.25" hidden="true" customHeight="false" outlineLevel="0" collapsed="false">
      <c r="A1386" s="1" t="n">
        <v>22</v>
      </c>
      <c r="B1386" s="1" t="s">
        <v>135</v>
      </c>
      <c r="C1386" s="1" t="s">
        <v>452</v>
      </c>
      <c r="D1386" s="23" t="s">
        <v>348</v>
      </c>
      <c r="E1386" s="1" t="s">
        <v>210</v>
      </c>
      <c r="F1386" s="1" t="s">
        <v>138</v>
      </c>
      <c r="G1386" s="21" t="n">
        <f aca="false">K1386/3.1416</f>
        <v>3.18309141838554</v>
      </c>
      <c r="H1386" s="1" t="n">
        <v>3</v>
      </c>
      <c r="I1386" s="1" t="s">
        <v>127</v>
      </c>
      <c r="J1386" s="1" t="s">
        <v>149</v>
      </c>
      <c r="K1386" s="1" t="n">
        <v>10</v>
      </c>
    </row>
    <row r="1387" customFormat="false" ht="14.25" hidden="true" customHeight="false" outlineLevel="0" collapsed="false">
      <c r="A1387" s="1" t="n">
        <v>25</v>
      </c>
      <c r="B1387" s="1" t="s">
        <v>135</v>
      </c>
      <c r="C1387" s="1" t="s">
        <v>452</v>
      </c>
      <c r="D1387" s="23" t="s">
        <v>348</v>
      </c>
      <c r="E1387" s="1" t="s">
        <v>210</v>
      </c>
      <c r="F1387" s="1" t="s">
        <v>138</v>
      </c>
      <c r="G1387" s="21" t="n">
        <f aca="false">K1387/3.1416</f>
        <v>4.1380188439012</v>
      </c>
      <c r="H1387" s="1" t="n">
        <v>6</v>
      </c>
      <c r="I1387" s="1" t="s">
        <v>129</v>
      </c>
      <c r="J1387" s="1" t="s">
        <v>149</v>
      </c>
      <c r="K1387" s="1" t="n">
        <v>13</v>
      </c>
    </row>
    <row r="1388" customFormat="false" ht="14.25" hidden="true" customHeight="false" outlineLevel="0" collapsed="false">
      <c r="A1388" s="1" t="n">
        <v>25</v>
      </c>
      <c r="B1388" s="1" t="s">
        <v>135</v>
      </c>
      <c r="C1388" s="1" t="s">
        <v>452</v>
      </c>
      <c r="D1388" s="23" t="s">
        <v>348</v>
      </c>
      <c r="E1388" s="1" t="s">
        <v>210</v>
      </c>
      <c r="F1388" s="1" t="s">
        <v>138</v>
      </c>
      <c r="G1388" s="21" t="n">
        <f aca="false">K1388/3.1416</f>
        <v>3.18309141838554</v>
      </c>
      <c r="H1388" s="1" t="n">
        <v>4</v>
      </c>
      <c r="I1388" s="1" t="s">
        <v>129</v>
      </c>
      <c r="J1388" s="1" t="s">
        <v>149</v>
      </c>
      <c r="K1388" s="1" t="n">
        <v>10</v>
      </c>
    </row>
    <row r="1389" customFormat="false" ht="14.25" hidden="true" customHeight="false" outlineLevel="0" collapsed="false">
      <c r="A1389" s="1" t="n">
        <v>31</v>
      </c>
      <c r="B1389" s="1" t="s">
        <v>131</v>
      </c>
      <c r="C1389" s="1" t="s">
        <v>452</v>
      </c>
      <c r="D1389" s="23" t="s">
        <v>348</v>
      </c>
      <c r="E1389" s="1" t="s">
        <v>210</v>
      </c>
      <c r="F1389" s="1" t="s">
        <v>138</v>
      </c>
      <c r="G1389" s="21" t="n">
        <f aca="false">K1389/3.1416</f>
        <v>2.54647313470843</v>
      </c>
      <c r="H1389" s="1" t="n">
        <v>7</v>
      </c>
      <c r="I1389" s="1" t="s">
        <v>129</v>
      </c>
      <c r="J1389" s="1" t="s">
        <v>149</v>
      </c>
      <c r="K1389" s="1" t="n">
        <v>8</v>
      </c>
    </row>
    <row r="1390" customFormat="false" ht="14.25" hidden="true" customHeight="false" outlineLevel="0" collapsed="false">
      <c r="A1390" s="1" t="n">
        <v>1</v>
      </c>
      <c r="B1390" s="1" t="s">
        <v>82</v>
      </c>
      <c r="C1390" s="1" t="s">
        <v>454</v>
      </c>
      <c r="D1390" s="23" t="s">
        <v>455</v>
      </c>
      <c r="E1390" s="1" t="s">
        <v>456</v>
      </c>
      <c r="F1390" s="2" t="s">
        <v>138</v>
      </c>
      <c r="G1390" s="21" t="n">
        <f aca="false">K1390/3.1416</f>
        <v>5.41125541125541</v>
      </c>
      <c r="H1390" s="1" t="n">
        <v>0</v>
      </c>
      <c r="I1390" s="2" t="s">
        <v>74</v>
      </c>
      <c r="J1390" s="1" t="s">
        <v>74</v>
      </c>
      <c r="K1390" s="1" t="n">
        <v>17</v>
      </c>
    </row>
    <row r="1391" customFormat="false" ht="14.25" hidden="true" customHeight="false" outlineLevel="0" collapsed="false">
      <c r="A1391" s="1" t="n">
        <v>1</v>
      </c>
      <c r="B1391" s="1" t="s">
        <v>82</v>
      </c>
      <c r="C1391" s="1" t="s">
        <v>454</v>
      </c>
      <c r="D1391" s="23" t="s">
        <v>455</v>
      </c>
      <c r="E1391" s="1" t="s">
        <v>456</v>
      </c>
      <c r="F1391" s="2" t="s">
        <v>138</v>
      </c>
      <c r="G1391" s="21" t="n">
        <f aca="false">K1391/3.1416</f>
        <v>3.18309141838554</v>
      </c>
      <c r="H1391" s="1" t="n">
        <v>0</v>
      </c>
      <c r="I1391" s="2" t="s">
        <v>74</v>
      </c>
      <c r="J1391" s="1" t="s">
        <v>74</v>
      </c>
      <c r="K1391" s="1" t="n">
        <v>10</v>
      </c>
    </row>
    <row r="1392" customFormat="false" ht="14.25" hidden="true" customHeight="false" outlineLevel="0" collapsed="false">
      <c r="A1392" s="1" t="n">
        <v>1</v>
      </c>
      <c r="B1392" s="1" t="s">
        <v>82</v>
      </c>
      <c r="C1392" s="1" t="s">
        <v>454</v>
      </c>
      <c r="D1392" s="23" t="s">
        <v>455</v>
      </c>
      <c r="E1392" s="1" t="s">
        <v>456</v>
      </c>
      <c r="F1392" s="2" t="s">
        <v>138</v>
      </c>
      <c r="G1392" s="21" t="n">
        <f aca="false">K1392/3.1416</f>
        <v>3.18309141838554</v>
      </c>
      <c r="H1392" s="1" t="n">
        <v>0</v>
      </c>
      <c r="I1392" s="2" t="s">
        <v>74</v>
      </c>
      <c r="J1392" s="1" t="s">
        <v>74</v>
      </c>
      <c r="K1392" s="1" t="n">
        <v>10</v>
      </c>
    </row>
    <row r="1393" customFormat="false" ht="14.25" hidden="true" customHeight="false" outlineLevel="0" collapsed="false">
      <c r="A1393" s="1" t="n">
        <v>1</v>
      </c>
      <c r="B1393" s="1" t="s">
        <v>82</v>
      </c>
      <c r="C1393" s="1" t="s">
        <v>454</v>
      </c>
      <c r="D1393" s="23" t="s">
        <v>455</v>
      </c>
      <c r="E1393" s="1" t="s">
        <v>456</v>
      </c>
      <c r="F1393" s="2" t="s">
        <v>138</v>
      </c>
      <c r="G1393" s="21" t="n">
        <f aca="false">K1393/3.1416</f>
        <v>3.18309141838554</v>
      </c>
      <c r="H1393" s="1" t="n">
        <v>0</v>
      </c>
      <c r="I1393" s="2" t="s">
        <v>74</v>
      </c>
      <c r="J1393" s="1" t="s">
        <v>74</v>
      </c>
      <c r="K1393" s="1" t="n">
        <v>10</v>
      </c>
    </row>
    <row r="1394" customFormat="false" ht="14.25" hidden="true" customHeight="false" outlineLevel="0" collapsed="false">
      <c r="A1394" s="1" t="n">
        <v>4</v>
      </c>
      <c r="B1394" s="1" t="s">
        <v>122</v>
      </c>
      <c r="C1394" s="1" t="s">
        <v>454</v>
      </c>
      <c r="D1394" s="23" t="s">
        <v>455</v>
      </c>
      <c r="E1394" s="1" t="s">
        <v>456</v>
      </c>
      <c r="F1394" s="2" t="s">
        <v>138</v>
      </c>
      <c r="G1394" s="21" t="n">
        <f aca="false">K1394/3.1416</f>
        <v>5.41125541125541</v>
      </c>
      <c r="H1394" s="1" t="n">
        <v>0</v>
      </c>
      <c r="I1394" s="2" t="s">
        <v>74</v>
      </c>
      <c r="J1394" s="1" t="s">
        <v>74</v>
      </c>
      <c r="K1394" s="1" t="n">
        <v>17</v>
      </c>
    </row>
    <row r="1395" customFormat="false" ht="14.25" hidden="true" customHeight="false" outlineLevel="0" collapsed="false">
      <c r="A1395" s="1" t="n">
        <v>4</v>
      </c>
      <c r="B1395" s="1" t="s">
        <v>122</v>
      </c>
      <c r="C1395" s="1" t="s">
        <v>454</v>
      </c>
      <c r="D1395" s="23" t="s">
        <v>455</v>
      </c>
      <c r="E1395" s="1" t="s">
        <v>456</v>
      </c>
      <c r="F1395" s="2" t="s">
        <v>138</v>
      </c>
      <c r="G1395" s="21" t="n">
        <f aca="false">K1395/3.1416</f>
        <v>5.41125541125541</v>
      </c>
      <c r="H1395" s="1" t="n">
        <v>0</v>
      </c>
      <c r="I1395" s="2" t="s">
        <v>74</v>
      </c>
      <c r="J1395" s="1" t="s">
        <v>74</v>
      </c>
      <c r="K1395" s="1" t="n">
        <v>17</v>
      </c>
    </row>
    <row r="1396" customFormat="false" ht="14.25" hidden="true" customHeight="false" outlineLevel="0" collapsed="false">
      <c r="A1396" s="1" t="n">
        <v>5</v>
      </c>
      <c r="B1396" s="1" t="s">
        <v>122</v>
      </c>
      <c r="C1396" s="1" t="s">
        <v>454</v>
      </c>
      <c r="D1396" s="23" t="s">
        <v>455</v>
      </c>
      <c r="E1396" s="1" t="s">
        <v>456</v>
      </c>
      <c r="F1396" s="2" t="s">
        <v>138</v>
      </c>
      <c r="G1396" s="21" t="n">
        <f aca="false">K1396/3.1416</f>
        <v>9.54927425515661</v>
      </c>
      <c r="H1396" s="1" t="n">
        <v>0</v>
      </c>
      <c r="I1396" s="2" t="s">
        <v>74</v>
      </c>
      <c r="J1396" s="1" t="s">
        <v>74</v>
      </c>
      <c r="K1396" s="1" t="n">
        <v>30</v>
      </c>
    </row>
    <row r="1397" customFormat="false" ht="14.25" hidden="true" customHeight="false" outlineLevel="0" collapsed="false">
      <c r="A1397" s="1" t="n">
        <v>6</v>
      </c>
      <c r="B1397" s="1" t="s">
        <v>122</v>
      </c>
      <c r="C1397" s="1" t="s">
        <v>454</v>
      </c>
      <c r="D1397" s="23" t="s">
        <v>455</v>
      </c>
      <c r="E1397" s="1" t="s">
        <v>456</v>
      </c>
      <c r="F1397" s="2" t="s">
        <v>138</v>
      </c>
      <c r="G1397" s="21" t="n">
        <f aca="false">K1397/3.1416</f>
        <v>4.1380188439012</v>
      </c>
      <c r="H1397" s="1" t="n">
        <v>7</v>
      </c>
      <c r="I1397" s="2" t="s">
        <v>74</v>
      </c>
      <c r="J1397" s="1" t="s">
        <v>74</v>
      </c>
      <c r="K1397" s="1" t="n">
        <v>13</v>
      </c>
    </row>
    <row r="1398" customFormat="false" ht="14.25" hidden="true" customHeight="false" outlineLevel="0" collapsed="false">
      <c r="A1398" s="1" t="n">
        <v>7</v>
      </c>
      <c r="B1398" s="1" t="s">
        <v>122</v>
      </c>
      <c r="C1398" s="1" t="s">
        <v>454</v>
      </c>
      <c r="D1398" s="23" t="s">
        <v>455</v>
      </c>
      <c r="E1398" s="1" t="s">
        <v>456</v>
      </c>
      <c r="F1398" s="2" t="s">
        <v>138</v>
      </c>
      <c r="G1398" s="21" t="n">
        <f aca="false">K1398/3.1416</f>
        <v>5.41125541125541</v>
      </c>
      <c r="H1398" s="1" t="n">
        <v>2.5</v>
      </c>
      <c r="I1398" s="2" t="s">
        <v>74</v>
      </c>
      <c r="J1398" s="1" t="s">
        <v>74</v>
      </c>
      <c r="K1398" s="1" t="n">
        <v>17</v>
      </c>
    </row>
    <row r="1399" customFormat="false" ht="14.25" hidden="true" customHeight="false" outlineLevel="0" collapsed="false">
      <c r="A1399" s="1" t="n">
        <v>8</v>
      </c>
      <c r="B1399" s="1" t="s">
        <v>122</v>
      </c>
      <c r="C1399" s="1" t="s">
        <v>454</v>
      </c>
      <c r="D1399" s="23" t="s">
        <v>455</v>
      </c>
      <c r="E1399" s="1" t="s">
        <v>456</v>
      </c>
      <c r="F1399" s="2" t="s">
        <v>138</v>
      </c>
      <c r="G1399" s="21" t="n">
        <f aca="false">K1399/3.1416</f>
        <v>4.1380188439012</v>
      </c>
      <c r="H1399" s="1" t="n">
        <v>6</v>
      </c>
      <c r="I1399" s="2" t="s">
        <v>129</v>
      </c>
      <c r="J1399" s="1" t="s">
        <v>74</v>
      </c>
      <c r="K1399" s="1" t="n">
        <v>13</v>
      </c>
    </row>
    <row r="1400" customFormat="false" ht="14.25" hidden="true" customHeight="false" outlineLevel="0" collapsed="false">
      <c r="A1400" s="1" t="n">
        <v>8</v>
      </c>
      <c r="B1400" s="1" t="s">
        <v>122</v>
      </c>
      <c r="C1400" s="1" t="s">
        <v>454</v>
      </c>
      <c r="D1400" s="23" t="s">
        <v>455</v>
      </c>
      <c r="E1400" s="1" t="s">
        <v>456</v>
      </c>
      <c r="F1400" s="2" t="s">
        <v>138</v>
      </c>
      <c r="G1400" s="21" t="n">
        <f aca="false">K1400/3.1416</f>
        <v>4.1380188439012</v>
      </c>
      <c r="H1400" s="1" t="n">
        <v>6</v>
      </c>
      <c r="I1400" s="2" t="s">
        <v>129</v>
      </c>
      <c r="J1400" s="1" t="s">
        <v>74</v>
      </c>
      <c r="K1400" s="1" t="n">
        <v>13</v>
      </c>
    </row>
    <row r="1401" customFormat="false" ht="14.25" hidden="true" customHeight="false" outlineLevel="0" collapsed="false">
      <c r="A1401" s="1" t="n">
        <v>9</v>
      </c>
      <c r="B1401" s="1" t="s">
        <v>122</v>
      </c>
      <c r="C1401" s="1" t="s">
        <v>454</v>
      </c>
      <c r="D1401" s="23" t="s">
        <v>455</v>
      </c>
      <c r="E1401" s="1" t="s">
        <v>456</v>
      </c>
      <c r="F1401" s="2" t="s">
        <v>138</v>
      </c>
      <c r="G1401" s="21" t="n">
        <f aca="false">K1401/3.1416</f>
        <v>10.8225108225108</v>
      </c>
      <c r="H1401" s="1" t="n">
        <v>8</v>
      </c>
      <c r="I1401" s="2" t="s">
        <v>129</v>
      </c>
      <c r="J1401" s="1" t="s">
        <v>74</v>
      </c>
      <c r="K1401" s="1" t="n">
        <v>34</v>
      </c>
    </row>
    <row r="1402" customFormat="false" ht="14.25" hidden="true" customHeight="false" outlineLevel="0" collapsed="false">
      <c r="A1402" s="1" t="n">
        <v>12</v>
      </c>
      <c r="B1402" s="1" t="s">
        <v>128</v>
      </c>
      <c r="C1402" s="1" t="s">
        <v>454</v>
      </c>
      <c r="D1402" s="23" t="s">
        <v>455</v>
      </c>
      <c r="E1402" s="1" t="s">
        <v>456</v>
      </c>
      <c r="F1402" s="2" t="s">
        <v>138</v>
      </c>
      <c r="G1402" s="21" t="n">
        <f aca="false">K1402/3.1416</f>
        <v>5.41125541125541</v>
      </c>
      <c r="H1402" s="1" t="n">
        <v>2</v>
      </c>
      <c r="I1402" s="1" t="s">
        <v>129</v>
      </c>
      <c r="J1402" s="1" t="s">
        <v>74</v>
      </c>
      <c r="K1402" s="1" t="n">
        <v>17</v>
      </c>
    </row>
    <row r="1403" customFormat="false" ht="14.25" hidden="true" customHeight="false" outlineLevel="0" collapsed="false">
      <c r="A1403" s="1" t="n">
        <v>12</v>
      </c>
      <c r="B1403" s="1" t="s">
        <v>128</v>
      </c>
      <c r="C1403" s="1" t="s">
        <v>454</v>
      </c>
      <c r="D1403" s="23" t="s">
        <v>455</v>
      </c>
      <c r="E1403" s="1" t="s">
        <v>456</v>
      </c>
      <c r="F1403" s="2" t="s">
        <v>138</v>
      </c>
      <c r="G1403" s="21" t="n">
        <f aca="false">K1403/3.1416</f>
        <v>3.18309141838554</v>
      </c>
      <c r="H1403" s="1" t="n">
        <v>2.5</v>
      </c>
      <c r="I1403" s="1" t="s">
        <v>129</v>
      </c>
      <c r="J1403" s="1" t="s">
        <v>74</v>
      </c>
      <c r="K1403" s="1" t="n">
        <v>10</v>
      </c>
    </row>
    <row r="1404" customFormat="false" ht="14.25" hidden="true" customHeight="false" outlineLevel="0" collapsed="false">
      <c r="A1404" s="1" t="n">
        <v>13</v>
      </c>
      <c r="B1404" s="1" t="s">
        <v>128</v>
      </c>
      <c r="C1404" s="1" t="s">
        <v>454</v>
      </c>
      <c r="D1404" s="23" t="s">
        <v>455</v>
      </c>
      <c r="E1404" s="1" t="s">
        <v>456</v>
      </c>
      <c r="F1404" s="2" t="s">
        <v>138</v>
      </c>
      <c r="G1404" s="21" t="n">
        <f aca="false">2*K1404/3.1416</f>
        <v>8.9126559714795</v>
      </c>
      <c r="H1404" s="1" t="n">
        <v>2</v>
      </c>
      <c r="I1404" s="1" t="s">
        <v>129</v>
      </c>
      <c r="J1404" s="1" t="s">
        <v>74</v>
      </c>
      <c r="K1404" s="1" t="n">
        <v>14</v>
      </c>
    </row>
    <row r="1405" customFormat="false" ht="14.25" hidden="true" customHeight="false" outlineLevel="0" collapsed="false">
      <c r="A1405" s="1" t="n">
        <v>13</v>
      </c>
      <c r="B1405" s="1" t="s">
        <v>128</v>
      </c>
      <c r="C1405" s="1" t="s">
        <v>454</v>
      </c>
      <c r="D1405" s="23" t="s">
        <v>455</v>
      </c>
      <c r="E1405" s="1" t="s">
        <v>456</v>
      </c>
      <c r="F1405" s="2" t="s">
        <v>138</v>
      </c>
      <c r="G1405" s="21" t="n">
        <f aca="false">2*K1405/3.1416</f>
        <v>8.9126559714795</v>
      </c>
      <c r="H1405" s="1" t="n">
        <v>4</v>
      </c>
      <c r="I1405" s="1" t="s">
        <v>129</v>
      </c>
      <c r="J1405" s="1" t="s">
        <v>74</v>
      </c>
      <c r="K1405" s="1" t="n">
        <v>14</v>
      </c>
    </row>
    <row r="1406" customFormat="false" ht="14.25" hidden="true" customHeight="false" outlineLevel="0" collapsed="false">
      <c r="A1406" s="1" t="n">
        <v>13</v>
      </c>
      <c r="B1406" s="1" t="s">
        <v>128</v>
      </c>
      <c r="C1406" s="1" t="s">
        <v>454</v>
      </c>
      <c r="D1406" s="23" t="s">
        <v>455</v>
      </c>
      <c r="E1406" s="1" t="s">
        <v>456</v>
      </c>
      <c r="F1406" s="2" t="s">
        <v>138</v>
      </c>
      <c r="G1406" s="21" t="n">
        <f aca="false">2*K1406/3.1416</f>
        <v>8.9126559714795</v>
      </c>
      <c r="H1406" s="1" t="n">
        <v>5</v>
      </c>
      <c r="I1406" s="1" t="s">
        <v>129</v>
      </c>
      <c r="J1406" s="1" t="s">
        <v>74</v>
      </c>
      <c r="K1406" s="1" t="n">
        <v>14</v>
      </c>
    </row>
    <row r="1407" customFormat="false" ht="14.25" hidden="true" customHeight="false" outlineLevel="0" collapsed="false">
      <c r="A1407" s="1" t="n">
        <v>13</v>
      </c>
      <c r="B1407" s="1" t="s">
        <v>128</v>
      </c>
      <c r="C1407" s="1" t="s">
        <v>454</v>
      </c>
      <c r="D1407" s="23" t="s">
        <v>455</v>
      </c>
      <c r="E1407" s="1" t="s">
        <v>456</v>
      </c>
      <c r="F1407" s="2" t="s">
        <v>138</v>
      </c>
      <c r="G1407" s="21" t="n">
        <f aca="false">2*K1407/3.1416</f>
        <v>8.9126559714795</v>
      </c>
      <c r="H1407" s="1" t="n">
        <v>5</v>
      </c>
      <c r="I1407" s="1" t="s">
        <v>129</v>
      </c>
      <c r="J1407" s="1" t="s">
        <v>74</v>
      </c>
      <c r="K1407" s="1" t="n">
        <v>14</v>
      </c>
    </row>
    <row r="1408" customFormat="false" ht="14.25" hidden="true" customHeight="false" outlineLevel="0" collapsed="false">
      <c r="A1408" s="1" t="n">
        <v>13</v>
      </c>
      <c r="B1408" s="1" t="s">
        <v>128</v>
      </c>
      <c r="C1408" s="1" t="s">
        <v>454</v>
      </c>
      <c r="D1408" s="23" t="s">
        <v>455</v>
      </c>
      <c r="E1408" s="1" t="s">
        <v>456</v>
      </c>
      <c r="F1408" s="2" t="s">
        <v>138</v>
      </c>
      <c r="G1408" s="21" t="n">
        <f aca="false">2*K1408/3.1416</f>
        <v>8.9126559714795</v>
      </c>
      <c r="H1408" s="1" t="n">
        <v>5</v>
      </c>
      <c r="I1408" s="1" t="s">
        <v>129</v>
      </c>
      <c r="J1408" s="1" t="s">
        <v>74</v>
      </c>
      <c r="K1408" s="1" t="n">
        <v>14</v>
      </c>
    </row>
    <row r="1409" customFormat="false" ht="14.25" hidden="true" customHeight="false" outlineLevel="0" collapsed="false">
      <c r="A1409" s="1" t="n">
        <v>13</v>
      </c>
      <c r="B1409" s="1" t="s">
        <v>128</v>
      </c>
      <c r="C1409" s="1" t="s">
        <v>454</v>
      </c>
      <c r="D1409" s="23" t="s">
        <v>455</v>
      </c>
      <c r="E1409" s="1" t="s">
        <v>456</v>
      </c>
      <c r="F1409" s="2" t="s">
        <v>138</v>
      </c>
      <c r="G1409" s="21" t="n">
        <f aca="false">2*K1409/3.1416</f>
        <v>8.9126559714795</v>
      </c>
      <c r="H1409" s="1" t="n">
        <v>5</v>
      </c>
      <c r="I1409" s="1" t="s">
        <v>129</v>
      </c>
      <c r="J1409" s="1" t="s">
        <v>74</v>
      </c>
      <c r="K1409" s="1" t="n">
        <v>14</v>
      </c>
    </row>
    <row r="1410" customFormat="false" ht="14.25" hidden="true" customHeight="false" outlineLevel="0" collapsed="false">
      <c r="A1410" s="1" t="n">
        <v>17</v>
      </c>
      <c r="B1410" s="1" t="s">
        <v>128</v>
      </c>
      <c r="C1410" s="1" t="s">
        <v>454</v>
      </c>
      <c r="D1410" s="23" t="s">
        <v>455</v>
      </c>
      <c r="E1410" s="1" t="s">
        <v>456</v>
      </c>
      <c r="F1410" s="2" t="s">
        <v>138</v>
      </c>
      <c r="G1410" s="21" t="n">
        <f aca="false">K1410/3.1416</f>
        <v>4.7746371275783</v>
      </c>
      <c r="H1410" s="1" t="n">
        <v>8</v>
      </c>
      <c r="I1410" s="1" t="s">
        <v>129</v>
      </c>
      <c r="J1410" s="1" t="s">
        <v>74</v>
      </c>
      <c r="K1410" s="1" t="n">
        <v>15</v>
      </c>
    </row>
    <row r="1411" customFormat="false" ht="14.25" hidden="true" customHeight="false" outlineLevel="0" collapsed="false">
      <c r="A1411" s="1" t="n">
        <v>17</v>
      </c>
      <c r="B1411" s="1" t="s">
        <v>128</v>
      </c>
      <c r="C1411" s="1" t="s">
        <v>454</v>
      </c>
      <c r="D1411" s="23" t="s">
        <v>455</v>
      </c>
      <c r="E1411" s="1" t="s">
        <v>456</v>
      </c>
      <c r="F1411" s="2" t="s">
        <v>138</v>
      </c>
      <c r="G1411" s="21" t="n">
        <f aca="false">K1411/3.1416</f>
        <v>4.1380188439012</v>
      </c>
      <c r="H1411" s="1" t="n">
        <v>6</v>
      </c>
      <c r="I1411" s="1" t="s">
        <v>129</v>
      </c>
      <c r="J1411" s="1" t="s">
        <v>74</v>
      </c>
      <c r="K1411" s="1" t="n">
        <v>13</v>
      </c>
    </row>
    <row r="1412" customFormat="false" ht="14.25" hidden="true" customHeight="false" outlineLevel="0" collapsed="false">
      <c r="A1412" s="1" t="n">
        <v>18</v>
      </c>
      <c r="B1412" s="1" t="s">
        <v>128</v>
      </c>
      <c r="C1412" s="1" t="s">
        <v>454</v>
      </c>
      <c r="D1412" s="23" t="s">
        <v>455</v>
      </c>
      <c r="E1412" s="1" t="s">
        <v>456</v>
      </c>
      <c r="F1412" s="2" t="s">
        <v>138</v>
      </c>
      <c r="G1412" s="21" t="n">
        <f aca="false">K1412/3.1416</f>
        <v>3.18309141838554</v>
      </c>
      <c r="H1412" s="1" t="n">
        <v>1</v>
      </c>
      <c r="I1412" s="1" t="s">
        <v>129</v>
      </c>
      <c r="J1412" s="1" t="s">
        <v>74</v>
      </c>
      <c r="K1412" s="1" t="n">
        <v>10</v>
      </c>
    </row>
    <row r="1413" customFormat="false" ht="14.25" hidden="true" customHeight="false" outlineLevel="0" collapsed="false">
      <c r="A1413" s="1" t="n">
        <v>20</v>
      </c>
      <c r="B1413" s="1" t="s">
        <v>128</v>
      </c>
      <c r="C1413" s="1" t="s">
        <v>454</v>
      </c>
      <c r="D1413" s="23" t="s">
        <v>455</v>
      </c>
      <c r="E1413" s="1" t="s">
        <v>456</v>
      </c>
      <c r="F1413" s="2" t="s">
        <v>138</v>
      </c>
      <c r="G1413" s="21" t="n">
        <f aca="false">K1413/3.1416</f>
        <v>4.7746371275783</v>
      </c>
      <c r="H1413" s="1" t="n">
        <v>5</v>
      </c>
      <c r="I1413" s="1" t="s">
        <v>129</v>
      </c>
      <c r="J1413" s="1" t="s">
        <v>74</v>
      </c>
      <c r="K1413" s="1" t="n">
        <v>15</v>
      </c>
    </row>
    <row r="1414" customFormat="false" ht="14.25" hidden="true" customHeight="false" outlineLevel="0" collapsed="false">
      <c r="A1414" s="1" t="n">
        <v>20</v>
      </c>
      <c r="B1414" s="1" t="s">
        <v>128</v>
      </c>
      <c r="C1414" s="1" t="s">
        <v>454</v>
      </c>
      <c r="D1414" s="23" t="s">
        <v>455</v>
      </c>
      <c r="E1414" s="1" t="s">
        <v>456</v>
      </c>
      <c r="F1414" s="2" t="s">
        <v>138</v>
      </c>
      <c r="G1414" s="21" t="n">
        <f aca="false">K1414/3.1416</f>
        <v>4.7746371275783</v>
      </c>
      <c r="H1414" s="1" t="n">
        <v>6</v>
      </c>
      <c r="I1414" s="1" t="s">
        <v>129</v>
      </c>
      <c r="J1414" s="1" t="s">
        <v>74</v>
      </c>
      <c r="K1414" s="1" t="n">
        <v>15</v>
      </c>
    </row>
    <row r="1415" customFormat="false" ht="14.25" hidden="true" customHeight="false" outlineLevel="0" collapsed="false">
      <c r="A1415" s="1" t="n">
        <v>20</v>
      </c>
      <c r="B1415" s="1" t="s">
        <v>128</v>
      </c>
      <c r="C1415" s="1" t="s">
        <v>454</v>
      </c>
      <c r="D1415" s="23" t="s">
        <v>455</v>
      </c>
      <c r="E1415" s="1" t="s">
        <v>456</v>
      </c>
      <c r="F1415" s="2" t="s">
        <v>138</v>
      </c>
      <c r="G1415" s="21" t="n">
        <f aca="false">K1415/3.1416</f>
        <v>3.81970970206264</v>
      </c>
      <c r="H1415" s="1" t="n">
        <v>2</v>
      </c>
      <c r="I1415" s="1" t="s">
        <v>129</v>
      </c>
      <c r="J1415" s="1" t="s">
        <v>74</v>
      </c>
      <c r="K1415" s="1" t="n">
        <v>12</v>
      </c>
    </row>
    <row r="1416" customFormat="false" ht="14.25" hidden="true" customHeight="false" outlineLevel="0" collapsed="false">
      <c r="A1416" s="1" t="n">
        <v>20</v>
      </c>
      <c r="B1416" s="1" t="s">
        <v>128</v>
      </c>
      <c r="C1416" s="1" t="s">
        <v>454</v>
      </c>
      <c r="D1416" s="23" t="s">
        <v>455</v>
      </c>
      <c r="E1416" s="1" t="s">
        <v>456</v>
      </c>
      <c r="F1416" s="2" t="s">
        <v>138</v>
      </c>
      <c r="G1416" s="21" t="n">
        <f aca="false">K1416/3.1416</f>
        <v>4.45632798573975</v>
      </c>
      <c r="H1416" s="1" t="n">
        <v>6</v>
      </c>
      <c r="I1416" s="1" t="s">
        <v>129</v>
      </c>
      <c r="J1416" s="1" t="s">
        <v>74</v>
      </c>
      <c r="K1416" s="1" t="n">
        <v>14</v>
      </c>
    </row>
    <row r="1417" customFormat="false" ht="14.25" hidden="true" customHeight="false" outlineLevel="0" collapsed="false">
      <c r="A1417" s="1" t="n">
        <v>20</v>
      </c>
      <c r="B1417" s="1" t="s">
        <v>128</v>
      </c>
      <c r="C1417" s="1" t="s">
        <v>454</v>
      </c>
      <c r="D1417" s="23" t="s">
        <v>455</v>
      </c>
      <c r="E1417" s="1" t="s">
        <v>456</v>
      </c>
      <c r="F1417" s="2" t="s">
        <v>138</v>
      </c>
      <c r="G1417" s="21" t="n">
        <f aca="false">K1417/3.1416</f>
        <v>4.1380188439012</v>
      </c>
      <c r="H1417" s="1" t="n">
        <v>7</v>
      </c>
      <c r="I1417" s="1" t="s">
        <v>129</v>
      </c>
      <c r="J1417" s="1" t="s">
        <v>74</v>
      </c>
      <c r="K1417" s="1" t="n">
        <v>13</v>
      </c>
    </row>
    <row r="1418" customFormat="false" ht="14.25" hidden="true" customHeight="false" outlineLevel="0" collapsed="false">
      <c r="A1418" s="1" t="n">
        <v>20</v>
      </c>
      <c r="B1418" s="1" t="s">
        <v>128</v>
      </c>
      <c r="C1418" s="1" t="s">
        <v>454</v>
      </c>
      <c r="D1418" s="23" t="s">
        <v>455</v>
      </c>
      <c r="E1418" s="1" t="s">
        <v>456</v>
      </c>
      <c r="F1418" s="2" t="s">
        <v>138</v>
      </c>
      <c r="G1418" s="21" t="n">
        <f aca="false">K1418/3.1416</f>
        <v>3.81970970206264</v>
      </c>
      <c r="H1418" s="1" t="n">
        <v>4</v>
      </c>
      <c r="I1418" s="1" t="s">
        <v>129</v>
      </c>
      <c r="J1418" s="1" t="s">
        <v>74</v>
      </c>
      <c r="K1418" s="1" t="n">
        <v>12</v>
      </c>
    </row>
    <row r="1419" customFormat="false" ht="14.25" hidden="true" customHeight="false" outlineLevel="0" collapsed="false">
      <c r="A1419" s="1" t="n">
        <v>20</v>
      </c>
      <c r="B1419" s="1" t="s">
        <v>128</v>
      </c>
      <c r="C1419" s="1" t="s">
        <v>454</v>
      </c>
      <c r="D1419" s="23" t="s">
        <v>455</v>
      </c>
      <c r="E1419" s="1" t="s">
        <v>456</v>
      </c>
      <c r="F1419" s="2" t="s">
        <v>138</v>
      </c>
      <c r="G1419" s="21" t="n">
        <f aca="false">K1419/3.1416</f>
        <v>4.1380188439012</v>
      </c>
      <c r="H1419" s="1" t="n">
        <v>4</v>
      </c>
      <c r="I1419" s="1" t="s">
        <v>129</v>
      </c>
      <c r="J1419" s="1" t="s">
        <v>74</v>
      </c>
      <c r="K1419" s="1" t="n">
        <v>13</v>
      </c>
    </row>
    <row r="1420" customFormat="false" ht="14.25" hidden="true" customHeight="false" outlineLevel="0" collapsed="false">
      <c r="A1420" s="1" t="n">
        <v>20</v>
      </c>
      <c r="B1420" s="1" t="s">
        <v>128</v>
      </c>
      <c r="C1420" s="1" t="s">
        <v>454</v>
      </c>
      <c r="D1420" s="23" t="s">
        <v>455</v>
      </c>
      <c r="E1420" s="1" t="s">
        <v>456</v>
      </c>
      <c r="F1420" s="2" t="s">
        <v>138</v>
      </c>
      <c r="G1420" s="21" t="n">
        <f aca="false">K1420/3.1416</f>
        <v>4.45632798573975</v>
      </c>
      <c r="H1420" s="1" t="n">
        <v>6</v>
      </c>
      <c r="I1420" s="1" t="s">
        <v>129</v>
      </c>
      <c r="J1420" s="1" t="s">
        <v>74</v>
      </c>
      <c r="K1420" s="1" t="n">
        <v>14</v>
      </c>
    </row>
    <row r="1421" customFormat="false" ht="14.25" hidden="true" customHeight="false" outlineLevel="0" collapsed="false">
      <c r="A1421" s="1" t="n">
        <v>20</v>
      </c>
      <c r="B1421" s="1" t="s">
        <v>128</v>
      </c>
      <c r="C1421" s="1" t="s">
        <v>454</v>
      </c>
      <c r="D1421" s="23" t="s">
        <v>455</v>
      </c>
      <c r="E1421" s="1" t="s">
        <v>456</v>
      </c>
      <c r="F1421" s="2" t="s">
        <v>138</v>
      </c>
      <c r="G1421" s="21" t="n">
        <f aca="false">K1421/3.1416</f>
        <v>5.09294626941686</v>
      </c>
      <c r="H1421" s="1" t="n">
        <v>6</v>
      </c>
      <c r="I1421" s="1" t="s">
        <v>129</v>
      </c>
      <c r="J1421" s="1" t="s">
        <v>74</v>
      </c>
      <c r="K1421" s="1" t="n">
        <v>16</v>
      </c>
    </row>
    <row r="1422" customFormat="false" ht="14.25" hidden="true" customHeight="false" outlineLevel="0" collapsed="false">
      <c r="A1422" s="1" t="n">
        <v>20</v>
      </c>
      <c r="B1422" s="1" t="s">
        <v>128</v>
      </c>
      <c r="C1422" s="1" t="s">
        <v>454</v>
      </c>
      <c r="D1422" s="23" t="s">
        <v>455</v>
      </c>
      <c r="E1422" s="1" t="s">
        <v>456</v>
      </c>
      <c r="F1422" s="2" t="s">
        <v>138</v>
      </c>
      <c r="G1422" s="21" t="n">
        <f aca="false">K1422/3.1416</f>
        <v>4.7746371275783</v>
      </c>
      <c r="H1422" s="1" t="n">
        <v>7</v>
      </c>
      <c r="I1422" s="1" t="s">
        <v>129</v>
      </c>
      <c r="J1422" s="1" t="s">
        <v>74</v>
      </c>
      <c r="K1422" s="1" t="n">
        <v>15</v>
      </c>
    </row>
    <row r="1423" customFormat="false" ht="14.25" hidden="true" customHeight="false" outlineLevel="0" collapsed="false">
      <c r="A1423" s="1" t="n">
        <v>20</v>
      </c>
      <c r="B1423" s="1" t="s">
        <v>128</v>
      </c>
      <c r="C1423" s="1" t="s">
        <v>454</v>
      </c>
      <c r="D1423" s="23" t="s">
        <v>455</v>
      </c>
      <c r="E1423" s="1" t="s">
        <v>456</v>
      </c>
      <c r="F1423" s="2" t="s">
        <v>138</v>
      </c>
      <c r="G1423" s="21" t="n">
        <f aca="false">K1423/3.1416</f>
        <v>4.45632798573975</v>
      </c>
      <c r="H1423" s="1" t="n">
        <v>5</v>
      </c>
      <c r="I1423" s="1" t="s">
        <v>129</v>
      </c>
      <c r="J1423" s="1" t="s">
        <v>74</v>
      </c>
      <c r="K1423" s="1" t="n">
        <v>14</v>
      </c>
    </row>
    <row r="1424" customFormat="false" ht="14.25" hidden="true" customHeight="false" outlineLevel="0" collapsed="false">
      <c r="A1424" s="1" t="n">
        <v>21</v>
      </c>
      <c r="B1424" s="1" t="s">
        <v>135</v>
      </c>
      <c r="C1424" s="1" t="s">
        <v>454</v>
      </c>
      <c r="D1424" s="23" t="s">
        <v>455</v>
      </c>
      <c r="E1424" s="1" t="s">
        <v>456</v>
      </c>
      <c r="F1424" s="2" t="s">
        <v>138</v>
      </c>
      <c r="G1424" s="21" t="n">
        <f aca="false">K1424/3.1416</f>
        <v>4.45632798573975</v>
      </c>
      <c r="H1424" s="1" t="n">
        <v>5</v>
      </c>
      <c r="I1424" s="1" t="s">
        <v>129</v>
      </c>
      <c r="J1424" s="1" t="s">
        <v>74</v>
      </c>
      <c r="K1424" s="1" t="n">
        <v>14</v>
      </c>
    </row>
    <row r="1425" customFormat="false" ht="14.25" hidden="true" customHeight="false" outlineLevel="0" collapsed="false">
      <c r="A1425" s="1" t="n">
        <v>21</v>
      </c>
      <c r="B1425" s="1" t="s">
        <v>135</v>
      </c>
      <c r="C1425" s="1" t="s">
        <v>454</v>
      </c>
      <c r="D1425" s="23" t="s">
        <v>455</v>
      </c>
      <c r="E1425" s="1" t="s">
        <v>456</v>
      </c>
      <c r="F1425" s="2" t="s">
        <v>138</v>
      </c>
      <c r="G1425" s="21" t="n">
        <f aca="false">K1425/3.1416</f>
        <v>5.72956455309397</v>
      </c>
      <c r="H1425" s="1" t="n">
        <v>3</v>
      </c>
      <c r="I1425" s="1" t="s">
        <v>129</v>
      </c>
      <c r="J1425" s="1" t="s">
        <v>74</v>
      </c>
      <c r="K1425" s="1" t="n">
        <v>18</v>
      </c>
    </row>
    <row r="1426" customFormat="false" ht="14.25" hidden="true" customHeight="false" outlineLevel="0" collapsed="false">
      <c r="A1426" s="1" t="n">
        <v>22</v>
      </c>
      <c r="B1426" s="1" t="s">
        <v>135</v>
      </c>
      <c r="C1426" s="1" t="s">
        <v>454</v>
      </c>
      <c r="D1426" s="23" t="s">
        <v>455</v>
      </c>
      <c r="E1426" s="1" t="s">
        <v>456</v>
      </c>
      <c r="F1426" s="1" t="s">
        <v>138</v>
      </c>
      <c r="G1426" s="21" t="n">
        <f aca="false">K1426/3.1416</f>
        <v>5.09294626941686</v>
      </c>
      <c r="H1426" s="1" t="n">
        <v>6</v>
      </c>
      <c r="I1426" s="1" t="s">
        <v>129</v>
      </c>
      <c r="J1426" s="1" t="s">
        <v>74</v>
      </c>
      <c r="K1426" s="1" t="n">
        <v>16</v>
      </c>
    </row>
    <row r="1427" customFormat="false" ht="14.25" hidden="true" customHeight="false" outlineLevel="0" collapsed="false">
      <c r="A1427" s="1" t="n">
        <v>22</v>
      </c>
      <c r="B1427" s="1" t="s">
        <v>135</v>
      </c>
      <c r="C1427" s="1" t="s">
        <v>454</v>
      </c>
      <c r="D1427" s="23" t="s">
        <v>455</v>
      </c>
      <c r="E1427" s="1" t="s">
        <v>456</v>
      </c>
      <c r="F1427" s="2" t="s">
        <v>138</v>
      </c>
      <c r="G1427" s="21" t="n">
        <f aca="false">K1427/3.1416</f>
        <v>4.45632798573975</v>
      </c>
      <c r="H1427" s="1" t="n">
        <v>8</v>
      </c>
      <c r="I1427" s="1" t="s">
        <v>129</v>
      </c>
      <c r="J1427" s="1" t="s">
        <v>74</v>
      </c>
      <c r="K1427" s="1" t="n">
        <v>14</v>
      </c>
    </row>
    <row r="1428" customFormat="false" ht="14.25" hidden="true" customHeight="false" outlineLevel="0" collapsed="false">
      <c r="A1428" s="1" t="n">
        <v>24</v>
      </c>
      <c r="B1428" s="1" t="s">
        <v>135</v>
      </c>
      <c r="C1428" s="1" t="s">
        <v>454</v>
      </c>
      <c r="D1428" s="23" t="s">
        <v>457</v>
      </c>
      <c r="E1428" s="1" t="s">
        <v>254</v>
      </c>
      <c r="F1428" s="1" t="s">
        <v>120</v>
      </c>
      <c r="G1428" s="21" t="n">
        <f aca="false">K1428/3.1416</f>
        <v>4.45632798573975</v>
      </c>
      <c r="H1428" s="1" t="n">
        <v>2</v>
      </c>
      <c r="I1428" s="1" t="s">
        <v>129</v>
      </c>
      <c r="J1428" s="1" t="s">
        <v>74</v>
      </c>
      <c r="K1428" s="1" t="n">
        <v>14</v>
      </c>
    </row>
    <row r="1429" customFormat="false" ht="14.25" hidden="true" customHeight="false" outlineLevel="0" collapsed="false">
      <c r="A1429" s="1" t="n">
        <v>24</v>
      </c>
      <c r="B1429" s="1" t="s">
        <v>135</v>
      </c>
      <c r="C1429" s="1" t="s">
        <v>454</v>
      </c>
      <c r="D1429" s="23" t="s">
        <v>455</v>
      </c>
      <c r="E1429" s="1" t="s">
        <v>456</v>
      </c>
      <c r="F1429" s="1" t="s">
        <v>138</v>
      </c>
      <c r="G1429" s="21" t="n">
        <f aca="false">K1429/3.1416</f>
        <v>8.27603768780239</v>
      </c>
      <c r="H1429" s="1" t="n">
        <v>2</v>
      </c>
      <c r="I1429" s="1" t="s">
        <v>129</v>
      </c>
      <c r="J1429" s="1" t="s">
        <v>74</v>
      </c>
      <c r="K1429" s="1" t="n">
        <v>26</v>
      </c>
    </row>
    <row r="1430" customFormat="false" ht="14.25" hidden="true" customHeight="false" outlineLevel="0" collapsed="false">
      <c r="A1430" s="1" t="n">
        <v>31</v>
      </c>
      <c r="B1430" s="1" t="s">
        <v>131</v>
      </c>
      <c r="C1430" s="1" t="s">
        <v>454</v>
      </c>
      <c r="D1430" s="23" t="s">
        <v>455</v>
      </c>
      <c r="E1430" s="1" t="s">
        <v>456</v>
      </c>
      <c r="F1430" s="1" t="s">
        <v>138</v>
      </c>
      <c r="G1430" s="21" t="n">
        <f aca="false">K1430/3.1416</f>
        <v>4.45632798573975</v>
      </c>
      <c r="H1430" s="1" t="n">
        <v>7</v>
      </c>
      <c r="I1430" s="1" t="s">
        <v>129</v>
      </c>
      <c r="J1430" s="1" t="s">
        <v>74</v>
      </c>
      <c r="K1430" s="1" t="n">
        <v>14</v>
      </c>
    </row>
    <row r="1431" customFormat="false" ht="14.25" hidden="true" customHeight="false" outlineLevel="0" collapsed="false">
      <c r="A1431" s="1" t="n">
        <v>3</v>
      </c>
      <c r="B1431" s="1" t="s">
        <v>82</v>
      </c>
      <c r="C1431" s="1" t="s">
        <v>454</v>
      </c>
      <c r="D1431" s="23" t="s">
        <v>458</v>
      </c>
      <c r="E1431" s="1" t="s">
        <v>456</v>
      </c>
      <c r="F1431" s="1" t="s">
        <v>120</v>
      </c>
      <c r="G1431" s="21" t="n">
        <f aca="false">ROUND(K1431/PI(),0)</f>
        <v>6</v>
      </c>
      <c r="H1431" s="1" t="n">
        <v>6</v>
      </c>
      <c r="I1431" s="1" t="s">
        <v>129</v>
      </c>
      <c r="J1431" s="1" t="s">
        <v>243</v>
      </c>
      <c r="K1431" s="1" t="n">
        <v>19</v>
      </c>
    </row>
    <row r="1432" customFormat="false" ht="14.25" hidden="true" customHeight="false" outlineLevel="0" collapsed="false">
      <c r="A1432" s="1" t="n">
        <v>3</v>
      </c>
      <c r="B1432" s="1" t="s">
        <v>82</v>
      </c>
      <c r="C1432" s="1" t="s">
        <v>454</v>
      </c>
      <c r="D1432" s="23" t="s">
        <v>458</v>
      </c>
      <c r="E1432" s="1" t="s">
        <v>456</v>
      </c>
      <c r="F1432" s="1" t="s">
        <v>120</v>
      </c>
      <c r="G1432" s="21" t="n">
        <f aca="false">ROUND(K1432/PI(),0)</f>
        <v>4</v>
      </c>
      <c r="H1432" s="1" t="n">
        <v>6</v>
      </c>
      <c r="I1432" s="1" t="s">
        <v>134</v>
      </c>
      <c r="J1432" s="1" t="s">
        <v>459</v>
      </c>
      <c r="K1432" s="1" t="n">
        <v>12</v>
      </c>
    </row>
    <row r="1433" customFormat="false" ht="14.25" hidden="true" customHeight="false" outlineLevel="0" collapsed="false">
      <c r="A1433" s="1" t="n">
        <v>3</v>
      </c>
      <c r="B1433" s="1" t="s">
        <v>82</v>
      </c>
      <c r="C1433" s="1" t="s">
        <v>454</v>
      </c>
      <c r="D1433" s="23" t="s">
        <v>455</v>
      </c>
      <c r="E1433" s="1" t="s">
        <v>456</v>
      </c>
      <c r="F1433" s="1" t="s">
        <v>138</v>
      </c>
      <c r="G1433" s="21" t="n">
        <f aca="false">ROUND(K1433/PI(),0)</f>
        <v>6</v>
      </c>
      <c r="H1433" s="1" t="n">
        <v>7</v>
      </c>
      <c r="I1433" s="1" t="s">
        <v>129</v>
      </c>
      <c r="J1433" s="1" t="s">
        <v>459</v>
      </c>
      <c r="K1433" s="1" t="n">
        <v>19</v>
      </c>
    </row>
    <row r="1434" customFormat="false" ht="14.25" hidden="true" customHeight="false" outlineLevel="0" collapsed="false">
      <c r="A1434" s="1" t="n">
        <v>7</v>
      </c>
      <c r="B1434" s="1" t="s">
        <v>101</v>
      </c>
      <c r="C1434" s="1" t="s">
        <v>454</v>
      </c>
      <c r="D1434" s="23" t="s">
        <v>458</v>
      </c>
      <c r="E1434" s="1" t="s">
        <v>456</v>
      </c>
      <c r="F1434" s="1" t="s">
        <v>120</v>
      </c>
      <c r="G1434" s="21" t="n">
        <f aca="false">ROUND(K1434/PI(),0)</f>
        <v>3</v>
      </c>
      <c r="H1434" s="1" t="n">
        <v>2</v>
      </c>
      <c r="I1434" s="1" t="s">
        <v>129</v>
      </c>
      <c r="J1434" s="1" t="s">
        <v>207</v>
      </c>
      <c r="K1434" s="1" t="n">
        <v>10</v>
      </c>
    </row>
    <row r="1435" customFormat="false" ht="14.25" hidden="true" customHeight="false" outlineLevel="0" collapsed="false">
      <c r="A1435" s="1" t="n">
        <v>7</v>
      </c>
      <c r="B1435" s="1" t="s">
        <v>101</v>
      </c>
      <c r="C1435" s="1" t="s">
        <v>454</v>
      </c>
      <c r="D1435" s="23" t="s">
        <v>458</v>
      </c>
      <c r="E1435" s="1" t="s">
        <v>456</v>
      </c>
      <c r="F1435" s="1" t="s">
        <v>120</v>
      </c>
      <c r="G1435" s="21" t="n">
        <f aca="false">ROUND(K1435/PI(),0)</f>
        <v>4</v>
      </c>
      <c r="H1435" s="1" t="n">
        <v>7</v>
      </c>
      <c r="I1435" s="1" t="s">
        <v>129</v>
      </c>
      <c r="J1435" s="1" t="s">
        <v>207</v>
      </c>
      <c r="K1435" s="1" t="n">
        <v>13</v>
      </c>
    </row>
    <row r="1436" customFormat="false" ht="14.25" hidden="true" customHeight="false" outlineLevel="0" collapsed="false">
      <c r="A1436" s="1" t="n">
        <v>7</v>
      </c>
      <c r="B1436" s="1" t="s">
        <v>101</v>
      </c>
      <c r="C1436" s="1" t="s">
        <v>454</v>
      </c>
      <c r="D1436" s="23" t="s">
        <v>458</v>
      </c>
      <c r="E1436" s="1" t="s">
        <v>456</v>
      </c>
      <c r="F1436" s="1" t="s">
        <v>120</v>
      </c>
      <c r="G1436" s="21" t="n">
        <f aca="false">ROUND(K1436/PI(),0)</f>
        <v>4</v>
      </c>
      <c r="H1436" s="1" t="n">
        <v>7</v>
      </c>
      <c r="I1436" s="1" t="s">
        <v>129</v>
      </c>
      <c r="J1436" s="1" t="s">
        <v>207</v>
      </c>
      <c r="K1436" s="1" t="n">
        <v>14</v>
      </c>
    </row>
    <row r="1437" customFormat="false" ht="14.25" hidden="true" customHeight="false" outlineLevel="0" collapsed="false">
      <c r="A1437" s="1" t="n">
        <v>8</v>
      </c>
      <c r="B1437" s="1" t="s">
        <v>101</v>
      </c>
      <c r="C1437" s="1" t="s">
        <v>454</v>
      </c>
      <c r="D1437" s="23" t="s">
        <v>458</v>
      </c>
      <c r="E1437" s="1" t="s">
        <v>456</v>
      </c>
      <c r="F1437" s="1" t="s">
        <v>120</v>
      </c>
      <c r="G1437" s="21" t="n">
        <f aca="false">ROUND(K1437/PI(),0)</f>
        <v>4</v>
      </c>
      <c r="H1437" s="1" t="n">
        <v>6</v>
      </c>
      <c r="I1437" s="1" t="s">
        <v>129</v>
      </c>
      <c r="J1437" s="1" t="s">
        <v>207</v>
      </c>
      <c r="K1437" s="1" t="n">
        <v>12</v>
      </c>
    </row>
    <row r="1438" customFormat="false" ht="14.25" hidden="true" customHeight="false" outlineLevel="0" collapsed="false">
      <c r="A1438" s="1" t="n">
        <v>8</v>
      </c>
      <c r="B1438" s="1" t="s">
        <v>101</v>
      </c>
      <c r="C1438" s="1" t="s">
        <v>454</v>
      </c>
      <c r="D1438" s="23" t="s">
        <v>458</v>
      </c>
      <c r="E1438" s="1" t="s">
        <v>456</v>
      </c>
      <c r="F1438" s="1" t="s">
        <v>120</v>
      </c>
      <c r="G1438" s="21" t="n">
        <f aca="false">ROUND(K1438/PI(),0)</f>
        <v>4</v>
      </c>
      <c r="H1438" s="1" t="n">
        <v>5</v>
      </c>
      <c r="I1438" s="1" t="s">
        <v>129</v>
      </c>
      <c r="J1438" s="1" t="s">
        <v>207</v>
      </c>
      <c r="K1438" s="1" t="n">
        <v>13</v>
      </c>
    </row>
    <row r="1439" customFormat="false" ht="14.25" hidden="true" customHeight="false" outlineLevel="0" collapsed="false">
      <c r="A1439" s="1" t="n">
        <v>8</v>
      </c>
      <c r="B1439" s="1" t="s">
        <v>101</v>
      </c>
      <c r="C1439" s="1" t="s">
        <v>454</v>
      </c>
      <c r="D1439" s="23" t="s">
        <v>458</v>
      </c>
      <c r="E1439" s="1" t="s">
        <v>456</v>
      </c>
      <c r="F1439" s="1" t="s">
        <v>120</v>
      </c>
      <c r="G1439" s="21" t="n">
        <f aca="false">ROUND(K1439/PI(),0)</f>
        <v>4</v>
      </c>
      <c r="H1439" s="1" t="n">
        <v>7</v>
      </c>
      <c r="I1439" s="1" t="s">
        <v>129</v>
      </c>
      <c r="J1439" s="1" t="s">
        <v>207</v>
      </c>
      <c r="K1439" s="1" t="n">
        <v>13</v>
      </c>
    </row>
    <row r="1440" customFormat="false" ht="14.25" hidden="true" customHeight="false" outlineLevel="0" collapsed="false">
      <c r="A1440" s="1" t="n">
        <v>8</v>
      </c>
      <c r="B1440" s="1" t="s">
        <v>101</v>
      </c>
      <c r="C1440" s="1" t="s">
        <v>454</v>
      </c>
      <c r="D1440" s="23" t="s">
        <v>458</v>
      </c>
      <c r="E1440" s="1" t="s">
        <v>456</v>
      </c>
      <c r="F1440" s="1" t="s">
        <v>120</v>
      </c>
      <c r="G1440" s="21" t="n">
        <f aca="false">ROUND(K1440/PI(),0)</f>
        <v>4</v>
      </c>
      <c r="H1440" s="1" t="n">
        <v>6</v>
      </c>
      <c r="I1440" s="1" t="s">
        <v>127</v>
      </c>
      <c r="J1440" s="1" t="s">
        <v>207</v>
      </c>
      <c r="K1440" s="1" t="n">
        <v>13</v>
      </c>
    </row>
    <row r="1441" customFormat="false" ht="14.25" hidden="true" customHeight="false" outlineLevel="0" collapsed="false">
      <c r="A1441" s="1" t="n">
        <v>10</v>
      </c>
      <c r="B1441" s="1" t="s">
        <v>82</v>
      </c>
      <c r="C1441" s="1" t="s">
        <v>460</v>
      </c>
      <c r="D1441" s="23" t="s">
        <v>461</v>
      </c>
      <c r="E1441" s="1" t="s">
        <v>462</v>
      </c>
      <c r="F1441" s="2" t="s">
        <v>120</v>
      </c>
      <c r="G1441" s="21" t="n">
        <f aca="false">K1441/3.1416</f>
        <v>3.18309141838554</v>
      </c>
      <c r="H1441" s="1" t="n">
        <v>2.5</v>
      </c>
      <c r="I1441" s="2" t="s">
        <v>129</v>
      </c>
      <c r="J1441" s="1" t="s">
        <v>184</v>
      </c>
      <c r="K1441" s="1" t="n">
        <v>10</v>
      </c>
    </row>
    <row r="1442" customFormat="false" ht="14.25" hidden="true" customHeight="false" outlineLevel="0" collapsed="false">
      <c r="A1442" s="1" t="n">
        <v>20</v>
      </c>
      <c r="B1442" s="1" t="s">
        <v>128</v>
      </c>
      <c r="C1442" s="1" t="s">
        <v>460</v>
      </c>
      <c r="D1442" s="23" t="s">
        <v>461</v>
      </c>
      <c r="E1442" s="1" t="s">
        <v>462</v>
      </c>
      <c r="F1442" s="1" t="s">
        <v>138</v>
      </c>
      <c r="G1442" s="21" t="n">
        <f aca="false">K1442/3.1416</f>
        <v>2.54647313470843</v>
      </c>
      <c r="H1442" s="1" t="n">
        <v>3</v>
      </c>
      <c r="I1442" s="1" t="s">
        <v>129</v>
      </c>
      <c r="J1442" s="1" t="s">
        <v>74</v>
      </c>
      <c r="K1442" s="1" t="n">
        <v>8</v>
      </c>
    </row>
    <row r="1443" customFormat="false" ht="14.25" hidden="true" customHeight="false" outlineLevel="0" collapsed="false">
      <c r="A1443" s="1" t="n">
        <v>21</v>
      </c>
      <c r="B1443" s="1" t="s">
        <v>135</v>
      </c>
      <c r="C1443" s="1" t="s">
        <v>460</v>
      </c>
      <c r="D1443" s="23" t="s">
        <v>461</v>
      </c>
      <c r="E1443" s="1" t="s">
        <v>462</v>
      </c>
      <c r="F1443" s="1" t="s">
        <v>120</v>
      </c>
      <c r="G1443" s="21" t="n">
        <f aca="false">K1443/3.1416</f>
        <v>2.54647313470843</v>
      </c>
      <c r="H1443" s="1" t="n">
        <v>3</v>
      </c>
      <c r="I1443" s="1" t="s">
        <v>129</v>
      </c>
      <c r="J1443" s="1" t="s">
        <v>130</v>
      </c>
      <c r="K1443" s="1" t="n">
        <v>8</v>
      </c>
    </row>
    <row r="1444" customFormat="false" ht="14.25" hidden="true" customHeight="false" outlineLevel="0" collapsed="false">
      <c r="A1444" s="1" t="n">
        <v>23</v>
      </c>
      <c r="B1444" s="1" t="s">
        <v>135</v>
      </c>
      <c r="C1444" s="1" t="s">
        <v>460</v>
      </c>
      <c r="D1444" s="23" t="s">
        <v>461</v>
      </c>
      <c r="E1444" s="1" t="s">
        <v>462</v>
      </c>
      <c r="F1444" s="1" t="s">
        <v>120</v>
      </c>
      <c r="G1444" s="21" t="n">
        <f aca="false">K1444/3.1416</f>
        <v>2.54647313470843</v>
      </c>
      <c r="H1444" s="1" t="n">
        <v>1.5</v>
      </c>
      <c r="I1444" s="1" t="s">
        <v>129</v>
      </c>
      <c r="J1444" s="1" t="s">
        <v>184</v>
      </c>
      <c r="K1444" s="1" t="n">
        <v>8</v>
      </c>
    </row>
    <row r="1445" customFormat="false" ht="14.25" hidden="true" customHeight="false" outlineLevel="0" collapsed="false">
      <c r="A1445" s="1" t="n">
        <v>23</v>
      </c>
      <c r="B1445" s="1" t="s">
        <v>135</v>
      </c>
      <c r="C1445" s="1" t="s">
        <v>460</v>
      </c>
      <c r="D1445" s="23" t="s">
        <v>461</v>
      </c>
      <c r="E1445" s="1" t="s">
        <v>462</v>
      </c>
      <c r="F1445" s="1" t="s">
        <v>120</v>
      </c>
      <c r="G1445" s="21" t="n">
        <f aca="false">K1445/3.1416</f>
        <v>3.18309141838554</v>
      </c>
      <c r="H1445" s="1" t="n">
        <v>6</v>
      </c>
      <c r="I1445" s="1" t="s">
        <v>129</v>
      </c>
      <c r="J1445" s="1" t="s">
        <v>184</v>
      </c>
      <c r="K1445" s="1" t="n">
        <v>10</v>
      </c>
    </row>
    <row r="1446" customFormat="false" ht="14.25" hidden="true" customHeight="false" outlineLevel="0" collapsed="false">
      <c r="A1446" s="1" t="n">
        <v>25</v>
      </c>
      <c r="B1446" s="1" t="s">
        <v>135</v>
      </c>
      <c r="C1446" s="1" t="s">
        <v>460</v>
      </c>
      <c r="D1446" s="23" t="s">
        <v>461</v>
      </c>
      <c r="E1446" s="1" t="s">
        <v>462</v>
      </c>
      <c r="F1446" s="1" t="s">
        <v>120</v>
      </c>
      <c r="G1446" s="21" t="n">
        <f aca="false">K1446/3.1416</f>
        <v>2.54647313470843</v>
      </c>
      <c r="H1446" s="1" t="n">
        <v>5</v>
      </c>
      <c r="I1446" s="1" t="s">
        <v>129</v>
      </c>
      <c r="J1446" s="1" t="s">
        <v>184</v>
      </c>
      <c r="K1446" s="1" t="n">
        <v>8</v>
      </c>
    </row>
    <row r="1447" customFormat="false" ht="14.25" hidden="true" customHeight="false" outlineLevel="0" collapsed="false">
      <c r="A1447" s="1" t="n">
        <v>28</v>
      </c>
      <c r="B1447" s="1" t="s">
        <v>82</v>
      </c>
      <c r="C1447" s="1" t="s">
        <v>460</v>
      </c>
      <c r="D1447" s="23" t="s">
        <v>461</v>
      </c>
      <c r="E1447" s="1" t="s">
        <v>462</v>
      </c>
      <c r="F1447" s="1" t="s">
        <v>120</v>
      </c>
      <c r="G1447" s="21" t="n">
        <f aca="false">K1447/3.1416</f>
        <v>2.54647313470843</v>
      </c>
      <c r="H1447" s="1" t="n">
        <v>3</v>
      </c>
      <c r="I1447" s="1" t="s">
        <v>134</v>
      </c>
      <c r="J1447" s="1" t="s">
        <v>184</v>
      </c>
      <c r="K1447" s="1" t="n">
        <v>8</v>
      </c>
    </row>
    <row r="1448" customFormat="false" ht="14.25" hidden="true" customHeight="false" outlineLevel="0" collapsed="false">
      <c r="A1448" s="1" t="n">
        <v>19</v>
      </c>
      <c r="B1448" s="1" t="s">
        <v>128</v>
      </c>
      <c r="C1448" s="1" t="s">
        <v>463</v>
      </c>
      <c r="D1448" s="23" t="s">
        <v>464</v>
      </c>
      <c r="E1448" s="1" t="s">
        <v>156</v>
      </c>
      <c r="F1448" s="1" t="s">
        <v>120</v>
      </c>
      <c r="G1448" s="21" t="n">
        <f aca="false">K1448/3.1416</f>
        <v>2.54647313470843</v>
      </c>
      <c r="H1448" s="1" t="n">
        <v>3</v>
      </c>
      <c r="I1448" s="1" t="s">
        <v>129</v>
      </c>
      <c r="J1448" s="1" t="s">
        <v>149</v>
      </c>
      <c r="K1448" s="1" t="n">
        <v>8</v>
      </c>
    </row>
    <row r="1449" customFormat="false" ht="14.25" hidden="true" customHeight="false" outlineLevel="0" collapsed="false">
      <c r="A1449" s="1" t="n">
        <v>19</v>
      </c>
      <c r="B1449" s="1" t="s">
        <v>128</v>
      </c>
      <c r="C1449" s="1" t="s">
        <v>463</v>
      </c>
      <c r="D1449" s="23" t="s">
        <v>464</v>
      </c>
      <c r="E1449" s="1" t="s">
        <v>156</v>
      </c>
      <c r="F1449" s="1" t="s">
        <v>120</v>
      </c>
      <c r="G1449" s="21" t="n">
        <f aca="false">K1449/3.1416</f>
        <v>2.54647313470843</v>
      </c>
      <c r="H1449" s="1" t="n">
        <v>3</v>
      </c>
      <c r="I1449" s="1" t="s">
        <v>129</v>
      </c>
      <c r="J1449" s="1" t="s">
        <v>149</v>
      </c>
      <c r="K1449" s="1" t="n">
        <v>8</v>
      </c>
    </row>
    <row r="1450" customFormat="false" ht="14.25" hidden="true" customHeight="false" outlineLevel="0" collapsed="false">
      <c r="A1450" s="1" t="n">
        <v>19</v>
      </c>
      <c r="B1450" s="1" t="s">
        <v>128</v>
      </c>
      <c r="C1450" s="1" t="s">
        <v>463</v>
      </c>
      <c r="D1450" s="23" t="s">
        <v>464</v>
      </c>
      <c r="E1450" s="1" t="s">
        <v>156</v>
      </c>
      <c r="F1450" s="1" t="s">
        <v>120</v>
      </c>
      <c r="G1450" s="21" t="n">
        <f aca="false">K1450/3.1416</f>
        <v>2.54647313470843</v>
      </c>
      <c r="H1450" s="1" t="n">
        <v>3</v>
      </c>
      <c r="I1450" s="1" t="s">
        <v>129</v>
      </c>
      <c r="J1450" s="1" t="s">
        <v>149</v>
      </c>
      <c r="K1450" s="1" t="n">
        <v>8</v>
      </c>
    </row>
    <row r="1451" customFormat="false" ht="14.25" hidden="true" customHeight="false" outlineLevel="0" collapsed="false">
      <c r="A1451" s="1" t="n">
        <v>19</v>
      </c>
      <c r="B1451" s="1" t="s">
        <v>128</v>
      </c>
      <c r="C1451" s="1" t="s">
        <v>463</v>
      </c>
      <c r="D1451" s="23" t="s">
        <v>464</v>
      </c>
      <c r="E1451" s="1" t="s">
        <v>156</v>
      </c>
      <c r="F1451" s="1" t="s">
        <v>120</v>
      </c>
      <c r="G1451" s="21" t="n">
        <f aca="false">K1451/3.1416</f>
        <v>2.54647313470843</v>
      </c>
      <c r="H1451" s="1" t="n">
        <v>5</v>
      </c>
      <c r="I1451" s="1" t="s">
        <v>127</v>
      </c>
      <c r="J1451" s="1" t="s">
        <v>149</v>
      </c>
      <c r="K1451" s="1" t="n">
        <v>8</v>
      </c>
    </row>
    <row r="1452" customFormat="false" ht="14.25" hidden="true" customHeight="false" outlineLevel="0" collapsed="false">
      <c r="A1452" s="1" t="n">
        <v>19</v>
      </c>
      <c r="B1452" s="1" t="s">
        <v>128</v>
      </c>
      <c r="C1452" s="1" t="s">
        <v>463</v>
      </c>
      <c r="D1452" s="23" t="s">
        <v>464</v>
      </c>
      <c r="E1452" s="1" t="s">
        <v>156</v>
      </c>
      <c r="F1452" s="1" t="s">
        <v>120</v>
      </c>
      <c r="G1452" s="21" t="n">
        <f aca="false">K1452/3.1416</f>
        <v>2.54647313470843</v>
      </c>
      <c r="H1452" s="1" t="n">
        <v>5</v>
      </c>
      <c r="I1452" s="1" t="s">
        <v>129</v>
      </c>
      <c r="J1452" s="1" t="s">
        <v>149</v>
      </c>
      <c r="K1452" s="1" t="n">
        <v>8</v>
      </c>
    </row>
    <row r="1453" customFormat="false" ht="14.25" hidden="true" customHeight="false" outlineLevel="0" collapsed="false">
      <c r="A1453" s="1" t="n">
        <v>19</v>
      </c>
      <c r="B1453" s="1" t="s">
        <v>128</v>
      </c>
      <c r="C1453" s="1" t="s">
        <v>463</v>
      </c>
      <c r="D1453" s="23" t="s">
        <v>464</v>
      </c>
      <c r="E1453" s="1" t="s">
        <v>156</v>
      </c>
      <c r="F1453" s="1" t="s">
        <v>120</v>
      </c>
      <c r="G1453" s="21" t="n">
        <f aca="false">K1453/3.1416</f>
        <v>2.54647313470843</v>
      </c>
      <c r="H1453" s="1" t="n">
        <v>5</v>
      </c>
      <c r="I1453" s="1" t="s">
        <v>129</v>
      </c>
      <c r="J1453" s="1" t="s">
        <v>149</v>
      </c>
      <c r="K1453" s="1" t="n">
        <v>8</v>
      </c>
    </row>
    <row r="1454" customFormat="false" ht="14.25" hidden="true" customHeight="false" outlineLevel="0" collapsed="false">
      <c r="A1454" s="1" t="n">
        <v>19</v>
      </c>
      <c r="B1454" s="1" t="s">
        <v>128</v>
      </c>
      <c r="C1454" s="1" t="s">
        <v>463</v>
      </c>
      <c r="D1454" s="23" t="s">
        <v>464</v>
      </c>
      <c r="E1454" s="1" t="s">
        <v>156</v>
      </c>
      <c r="F1454" s="1" t="s">
        <v>120</v>
      </c>
      <c r="G1454" s="21" t="n">
        <f aca="false">K1454/3.1416</f>
        <v>2.54647313470843</v>
      </c>
      <c r="H1454" s="1" t="n">
        <v>5</v>
      </c>
      <c r="I1454" s="1" t="s">
        <v>129</v>
      </c>
      <c r="J1454" s="1" t="s">
        <v>149</v>
      </c>
      <c r="K1454" s="1" t="n">
        <v>8</v>
      </c>
    </row>
    <row r="1455" customFormat="false" ht="14.25" hidden="true" customHeight="false" outlineLevel="0" collapsed="false">
      <c r="A1455" s="1" t="n">
        <v>20</v>
      </c>
      <c r="B1455" s="1" t="s">
        <v>128</v>
      </c>
      <c r="C1455" s="1" t="s">
        <v>463</v>
      </c>
      <c r="D1455" s="23" t="s">
        <v>464</v>
      </c>
      <c r="E1455" s="1" t="s">
        <v>156</v>
      </c>
      <c r="F1455" s="1" t="s">
        <v>120</v>
      </c>
      <c r="G1455" s="21" t="n">
        <f aca="false">K1455/3.1416</f>
        <v>2.54647313470843</v>
      </c>
      <c r="H1455" s="1" t="n">
        <v>2.5</v>
      </c>
      <c r="I1455" s="1" t="s">
        <v>129</v>
      </c>
      <c r="J1455" s="1" t="s">
        <v>149</v>
      </c>
      <c r="K1455" s="1" t="n">
        <v>8</v>
      </c>
    </row>
    <row r="1456" customFormat="false" ht="14.25" hidden="true" customHeight="false" outlineLevel="0" collapsed="false">
      <c r="A1456" s="1" t="n">
        <v>21</v>
      </c>
      <c r="B1456" s="1" t="s">
        <v>135</v>
      </c>
      <c r="C1456" s="1" t="s">
        <v>463</v>
      </c>
      <c r="D1456" s="23" t="s">
        <v>276</v>
      </c>
      <c r="E1456" s="1" t="s">
        <v>165</v>
      </c>
      <c r="F1456" s="1" t="s">
        <v>120</v>
      </c>
      <c r="G1456" s="21" t="n">
        <f aca="false">K1456/3.1416</f>
        <v>2.54647313470843</v>
      </c>
      <c r="H1456" s="1" t="n">
        <v>4</v>
      </c>
      <c r="I1456" s="1" t="s">
        <v>129</v>
      </c>
      <c r="J1456" s="1" t="s">
        <v>149</v>
      </c>
      <c r="K1456" s="1" t="n">
        <v>8</v>
      </c>
    </row>
    <row r="1457" customFormat="false" ht="14.25" hidden="true" customHeight="false" outlineLevel="0" collapsed="false">
      <c r="A1457" s="1" t="n">
        <v>22</v>
      </c>
      <c r="B1457" s="1" t="s">
        <v>135</v>
      </c>
      <c r="C1457" s="1" t="s">
        <v>463</v>
      </c>
      <c r="D1457" s="23" t="s">
        <v>464</v>
      </c>
      <c r="E1457" s="1" t="s">
        <v>156</v>
      </c>
      <c r="F1457" s="1" t="s">
        <v>120</v>
      </c>
      <c r="G1457" s="21" t="n">
        <f aca="false">K1457/3.1416</f>
        <v>2.86478227654698</v>
      </c>
      <c r="H1457" s="1" t="n">
        <v>5</v>
      </c>
      <c r="I1457" s="1" t="s">
        <v>127</v>
      </c>
      <c r="J1457" s="1" t="s">
        <v>149</v>
      </c>
      <c r="K1457" s="1" t="n">
        <v>9</v>
      </c>
    </row>
    <row r="1458" customFormat="false" ht="14.25" hidden="true" customHeight="false" outlineLevel="0" collapsed="false">
      <c r="A1458" s="1" t="n">
        <v>23</v>
      </c>
      <c r="B1458" s="1" t="s">
        <v>135</v>
      </c>
      <c r="C1458" s="1" t="s">
        <v>463</v>
      </c>
      <c r="D1458" s="23" t="s">
        <v>192</v>
      </c>
      <c r="E1458" s="1" t="s">
        <v>193</v>
      </c>
      <c r="F1458" s="1" t="s">
        <v>120</v>
      </c>
      <c r="G1458" s="21" t="n">
        <f aca="false">K1458/3.1416</f>
        <v>2.54647313470843</v>
      </c>
      <c r="H1458" s="1" t="n">
        <v>5</v>
      </c>
      <c r="I1458" s="1" t="s">
        <v>129</v>
      </c>
      <c r="J1458" s="1" t="s">
        <v>149</v>
      </c>
      <c r="K1458" s="1" t="n">
        <v>8</v>
      </c>
    </row>
    <row r="1459" customFormat="false" ht="14.25" hidden="true" customHeight="false" outlineLevel="0" collapsed="false">
      <c r="A1459" s="1" t="n">
        <v>24</v>
      </c>
      <c r="B1459" s="1" t="s">
        <v>135</v>
      </c>
      <c r="C1459" s="1" t="s">
        <v>463</v>
      </c>
      <c r="D1459" s="23" t="s">
        <v>154</v>
      </c>
      <c r="E1459" s="1" t="s">
        <v>155</v>
      </c>
      <c r="F1459" s="1" t="s">
        <v>120</v>
      </c>
      <c r="G1459" s="21" t="n">
        <f aca="false">K1459/3.1416</f>
        <v>2.54647313470843</v>
      </c>
      <c r="H1459" s="1" t="n">
        <v>5</v>
      </c>
      <c r="I1459" s="1" t="s">
        <v>134</v>
      </c>
      <c r="J1459" s="1" t="s">
        <v>149</v>
      </c>
      <c r="K1459" s="1" t="n">
        <v>8</v>
      </c>
    </row>
    <row r="1460" customFormat="false" ht="14.25" hidden="true" customHeight="false" outlineLevel="0" collapsed="false">
      <c r="A1460" s="1" t="n">
        <v>26</v>
      </c>
      <c r="B1460" s="1" t="s">
        <v>135</v>
      </c>
      <c r="C1460" s="1" t="s">
        <v>463</v>
      </c>
      <c r="D1460" s="23" t="s">
        <v>464</v>
      </c>
      <c r="E1460" s="1" t="s">
        <v>156</v>
      </c>
      <c r="F1460" s="1" t="s">
        <v>120</v>
      </c>
      <c r="G1460" s="21" t="n">
        <f aca="false">K1460/3.1416</f>
        <v>3.50140056022409</v>
      </c>
      <c r="H1460" s="1" t="n">
        <v>6</v>
      </c>
      <c r="I1460" s="1" t="s">
        <v>129</v>
      </c>
      <c r="J1460" s="1" t="s">
        <v>149</v>
      </c>
      <c r="K1460" s="1" t="n">
        <v>11</v>
      </c>
    </row>
    <row r="1461" customFormat="false" ht="14.25" hidden="true" customHeight="false" outlineLevel="0" collapsed="false">
      <c r="A1461" s="1" t="n">
        <v>26</v>
      </c>
      <c r="B1461" s="1" t="s">
        <v>135</v>
      </c>
      <c r="C1461" s="1" t="s">
        <v>463</v>
      </c>
      <c r="D1461" s="23" t="s">
        <v>464</v>
      </c>
      <c r="E1461" s="1" t="s">
        <v>156</v>
      </c>
      <c r="F1461" s="1" t="s">
        <v>120</v>
      </c>
      <c r="G1461" s="21" t="n">
        <f aca="false">K1461/3.1416</f>
        <v>2.54647313470843</v>
      </c>
      <c r="H1461" s="1" t="n">
        <v>4</v>
      </c>
      <c r="I1461" s="1" t="s">
        <v>129</v>
      </c>
      <c r="J1461" s="1" t="s">
        <v>149</v>
      </c>
      <c r="K1461" s="1" t="n">
        <v>8</v>
      </c>
    </row>
    <row r="1462" customFormat="false" ht="14.25" hidden="true" customHeight="false" outlineLevel="0" collapsed="false">
      <c r="A1462" s="1" t="n">
        <v>26</v>
      </c>
      <c r="B1462" s="1" t="s">
        <v>135</v>
      </c>
      <c r="C1462" s="1" t="s">
        <v>463</v>
      </c>
      <c r="D1462" s="23" t="s">
        <v>464</v>
      </c>
      <c r="E1462" s="1" t="s">
        <v>156</v>
      </c>
      <c r="F1462" s="1" t="s">
        <v>120</v>
      </c>
      <c r="G1462" s="21" t="n">
        <f aca="false">K1462/3.1416</f>
        <v>2.86478227654698</v>
      </c>
      <c r="H1462" s="1" t="n">
        <v>4</v>
      </c>
      <c r="I1462" s="1" t="s">
        <v>127</v>
      </c>
      <c r="J1462" s="1" t="s">
        <v>149</v>
      </c>
      <c r="K1462" s="1" t="n">
        <v>9</v>
      </c>
    </row>
    <row r="1463" customFormat="false" ht="14.25" hidden="true" customHeight="false" outlineLevel="0" collapsed="false">
      <c r="A1463" s="1" t="n">
        <v>26</v>
      </c>
      <c r="B1463" s="1" t="s">
        <v>135</v>
      </c>
      <c r="C1463" s="1" t="s">
        <v>463</v>
      </c>
      <c r="D1463" s="23" t="s">
        <v>464</v>
      </c>
      <c r="E1463" s="1" t="s">
        <v>156</v>
      </c>
      <c r="F1463" s="1" t="s">
        <v>120</v>
      </c>
      <c r="G1463" s="21" t="n">
        <f aca="false">K1463/3.1416</f>
        <v>3.81970970206264</v>
      </c>
      <c r="H1463" s="1" t="n">
        <v>6</v>
      </c>
      <c r="I1463" s="1" t="s">
        <v>129</v>
      </c>
      <c r="J1463" s="1" t="s">
        <v>149</v>
      </c>
      <c r="K1463" s="1" t="n">
        <v>12</v>
      </c>
    </row>
    <row r="1464" customFormat="false" ht="14.25" hidden="true" customHeight="false" outlineLevel="0" collapsed="false">
      <c r="A1464" s="1" t="n">
        <v>30</v>
      </c>
      <c r="B1464" s="1" t="s">
        <v>131</v>
      </c>
      <c r="C1464" s="1" t="s">
        <v>463</v>
      </c>
      <c r="D1464" s="23" t="s">
        <v>464</v>
      </c>
      <c r="E1464" s="1" t="s">
        <v>156</v>
      </c>
      <c r="F1464" s="1" t="s">
        <v>120</v>
      </c>
      <c r="G1464" s="21" t="n">
        <f aca="false">K1464/3.1416</f>
        <v>2.54647313470843</v>
      </c>
      <c r="H1464" s="1" t="n">
        <v>5</v>
      </c>
      <c r="I1464" s="1" t="s">
        <v>129</v>
      </c>
      <c r="J1464" s="1" t="s">
        <v>149</v>
      </c>
      <c r="K1464" s="1" t="n">
        <v>8</v>
      </c>
    </row>
    <row r="1465" customFormat="false" ht="14.25" hidden="true" customHeight="false" outlineLevel="0" collapsed="false">
      <c r="A1465" s="1" t="n">
        <v>31</v>
      </c>
      <c r="B1465" s="1" t="s">
        <v>131</v>
      </c>
      <c r="C1465" s="1" t="s">
        <v>463</v>
      </c>
      <c r="D1465" s="23" t="s">
        <v>464</v>
      </c>
      <c r="E1465" s="1" t="s">
        <v>156</v>
      </c>
      <c r="F1465" s="1" t="s">
        <v>120</v>
      </c>
      <c r="G1465" s="21" t="n">
        <f aca="false">K1465/3.1416</f>
        <v>3.18309141838554</v>
      </c>
      <c r="H1465" s="1" t="n">
        <v>5</v>
      </c>
      <c r="I1465" s="1" t="s">
        <v>129</v>
      </c>
      <c r="J1465" s="1" t="s">
        <v>149</v>
      </c>
      <c r="K1465" s="1" t="n">
        <v>10</v>
      </c>
    </row>
    <row r="1466" customFormat="false" ht="14.25" hidden="true" customHeight="false" outlineLevel="0" collapsed="false">
      <c r="A1466" s="1" t="n">
        <v>3</v>
      </c>
      <c r="B1466" s="1" t="s">
        <v>82</v>
      </c>
      <c r="C1466" s="1" t="s">
        <v>463</v>
      </c>
      <c r="D1466" s="23"/>
      <c r="G1466" s="21" t="n">
        <f aca="false">ROUND(K1466/PI(),0)</f>
        <v>3</v>
      </c>
      <c r="H1466" s="1" t="n">
        <v>5</v>
      </c>
      <c r="I1466" s="1" t="s">
        <v>129</v>
      </c>
      <c r="J1466" s="1" t="s">
        <v>162</v>
      </c>
      <c r="K1466" s="1" t="n">
        <v>10</v>
      </c>
    </row>
    <row r="1467" customFormat="false" ht="14.25" hidden="true" customHeight="false" outlineLevel="0" collapsed="false">
      <c r="A1467" s="1" t="n">
        <v>4</v>
      </c>
      <c r="B1467" s="1" t="s">
        <v>82</v>
      </c>
      <c r="C1467" s="1" t="s">
        <v>463</v>
      </c>
      <c r="D1467" s="23"/>
      <c r="G1467" s="21" t="n">
        <f aca="false">ROUND(K1467/PI(),0)</f>
        <v>4</v>
      </c>
      <c r="H1467" s="1" t="n">
        <v>6</v>
      </c>
      <c r="I1467" s="1" t="s">
        <v>129</v>
      </c>
      <c r="J1467" s="1" t="s">
        <v>162</v>
      </c>
      <c r="K1467" s="1" t="n">
        <v>13</v>
      </c>
    </row>
    <row r="1468" customFormat="false" ht="14.25" hidden="true" customHeight="false" outlineLevel="0" collapsed="false">
      <c r="A1468" s="1" t="n">
        <v>4</v>
      </c>
      <c r="B1468" s="1" t="s">
        <v>82</v>
      </c>
      <c r="C1468" s="1" t="s">
        <v>463</v>
      </c>
      <c r="D1468" s="23"/>
      <c r="G1468" s="21" t="n">
        <f aca="false">ROUND(K1468/PI(),0)</f>
        <v>5</v>
      </c>
      <c r="H1468" s="1" t="n">
        <v>6</v>
      </c>
      <c r="I1468" s="1" t="s">
        <v>129</v>
      </c>
      <c r="J1468" s="1" t="s">
        <v>162</v>
      </c>
      <c r="K1468" s="1" t="n">
        <v>15</v>
      </c>
    </row>
    <row r="1469" customFormat="false" ht="14.25" hidden="true" customHeight="false" outlineLevel="0" collapsed="false">
      <c r="A1469" s="1" t="n">
        <v>25</v>
      </c>
      <c r="B1469" s="1" t="s">
        <v>135</v>
      </c>
      <c r="C1469" s="1" t="s">
        <v>465</v>
      </c>
      <c r="D1469" s="23" t="s">
        <v>300</v>
      </c>
      <c r="E1469" s="1" t="s">
        <v>210</v>
      </c>
      <c r="F1469" s="1" t="s">
        <v>120</v>
      </c>
      <c r="G1469" s="21" t="n">
        <f aca="false">K1469/3.1416</f>
        <v>2.54647313470843</v>
      </c>
      <c r="H1469" s="1" t="n">
        <v>4</v>
      </c>
      <c r="I1469" s="1" t="s">
        <v>129</v>
      </c>
      <c r="J1469" s="1" t="s">
        <v>130</v>
      </c>
      <c r="K1469" s="1" t="n">
        <v>8</v>
      </c>
    </row>
    <row r="1470" customFormat="false" ht="14.25" hidden="true" customHeight="false" outlineLevel="0" collapsed="false">
      <c r="A1470" s="1" t="n">
        <v>26</v>
      </c>
      <c r="B1470" s="1" t="s">
        <v>135</v>
      </c>
      <c r="C1470" s="1" t="s">
        <v>465</v>
      </c>
      <c r="D1470" s="23"/>
      <c r="G1470" s="21" t="n">
        <f aca="false">K1470/3.1416</f>
        <v>3.81970970206264</v>
      </c>
      <c r="H1470" s="1" t="n">
        <v>6</v>
      </c>
      <c r="I1470" s="1" t="s">
        <v>134</v>
      </c>
      <c r="J1470" s="1" t="s">
        <v>130</v>
      </c>
      <c r="K1470" s="1" t="n">
        <v>12</v>
      </c>
    </row>
    <row r="1471" customFormat="false" ht="14.25" hidden="true" customHeight="false" outlineLevel="0" collapsed="false">
      <c r="A1471" s="1" t="n">
        <v>26</v>
      </c>
      <c r="B1471" s="1" t="s">
        <v>135</v>
      </c>
      <c r="C1471" s="1" t="s">
        <v>465</v>
      </c>
      <c r="D1471" s="23"/>
      <c r="E1471" s="1" t="s">
        <v>156</v>
      </c>
      <c r="F1471" s="1" t="s">
        <v>120</v>
      </c>
      <c r="G1471" s="21" t="n">
        <f aca="false">K1471/3.1416</f>
        <v>4.45632798573975</v>
      </c>
      <c r="H1471" s="1" t="n">
        <v>6</v>
      </c>
      <c r="I1471" s="1" t="s">
        <v>134</v>
      </c>
      <c r="J1471" s="1" t="s">
        <v>130</v>
      </c>
      <c r="K1471" s="1" t="n">
        <v>14</v>
      </c>
    </row>
    <row r="1472" customFormat="false" ht="14.25" hidden="true" customHeight="false" outlineLevel="0" collapsed="false">
      <c r="A1472" s="1" t="n">
        <v>5</v>
      </c>
      <c r="B1472" s="1" t="s">
        <v>122</v>
      </c>
      <c r="C1472" s="1" t="s">
        <v>466</v>
      </c>
      <c r="D1472" s="23" t="s">
        <v>467</v>
      </c>
      <c r="E1472" s="1" t="s">
        <v>468</v>
      </c>
      <c r="F1472" s="2" t="s">
        <v>138</v>
      </c>
      <c r="G1472" s="21" t="n">
        <f aca="false">K1472/3.1416</f>
        <v>6.36618283677107</v>
      </c>
      <c r="H1472" s="1" t="n">
        <v>0</v>
      </c>
      <c r="I1472" s="2" t="s">
        <v>74</v>
      </c>
      <c r="J1472" s="1" t="s">
        <v>74</v>
      </c>
      <c r="K1472" s="1" t="n">
        <v>20</v>
      </c>
    </row>
    <row r="1473" customFormat="false" ht="14.25" hidden="true" customHeight="false" outlineLevel="0" collapsed="false">
      <c r="A1473" s="1" t="n">
        <v>5</v>
      </c>
      <c r="B1473" s="1" t="s">
        <v>122</v>
      </c>
      <c r="C1473" s="1" t="s">
        <v>466</v>
      </c>
      <c r="D1473" s="23" t="s">
        <v>467</v>
      </c>
      <c r="E1473" s="1" t="s">
        <v>468</v>
      </c>
      <c r="F1473" s="2" t="s">
        <v>138</v>
      </c>
      <c r="G1473" s="21" t="n">
        <f aca="false">K1473/3.1416</f>
        <v>6.36618283677107</v>
      </c>
      <c r="H1473" s="1" t="n">
        <v>0</v>
      </c>
      <c r="I1473" s="2" t="s">
        <v>74</v>
      </c>
      <c r="J1473" s="1" t="s">
        <v>74</v>
      </c>
      <c r="K1473" s="1" t="n">
        <v>20</v>
      </c>
    </row>
    <row r="1474" customFormat="false" ht="14.25" hidden="true" customHeight="false" outlineLevel="0" collapsed="false">
      <c r="A1474" s="1" t="n">
        <v>5</v>
      </c>
      <c r="B1474" s="1" t="s">
        <v>122</v>
      </c>
      <c r="C1474" s="1" t="s">
        <v>466</v>
      </c>
      <c r="D1474" s="23" t="s">
        <v>467</v>
      </c>
      <c r="E1474" s="1" t="s">
        <v>468</v>
      </c>
      <c r="F1474" s="2" t="s">
        <v>138</v>
      </c>
      <c r="G1474" s="21" t="n">
        <f aca="false">K1474/3.1416</f>
        <v>6.36618283677107</v>
      </c>
      <c r="H1474" s="1" t="n">
        <v>0</v>
      </c>
      <c r="I1474" s="2" t="s">
        <v>74</v>
      </c>
      <c r="J1474" s="1" t="s">
        <v>74</v>
      </c>
      <c r="K1474" s="1" t="n">
        <v>20</v>
      </c>
    </row>
    <row r="1475" customFormat="false" ht="14.25" hidden="true" customHeight="false" outlineLevel="0" collapsed="false">
      <c r="A1475" s="1" t="n">
        <v>5</v>
      </c>
      <c r="B1475" s="1" t="s">
        <v>122</v>
      </c>
      <c r="C1475" s="1" t="s">
        <v>466</v>
      </c>
      <c r="D1475" s="23" t="s">
        <v>467</v>
      </c>
      <c r="E1475" s="1" t="s">
        <v>468</v>
      </c>
      <c r="F1475" s="2" t="s">
        <v>138</v>
      </c>
      <c r="G1475" s="21" t="n">
        <f aca="false">K1475/3.1416</f>
        <v>6.36618283677107</v>
      </c>
      <c r="H1475" s="1" t="n">
        <v>0</v>
      </c>
      <c r="I1475" s="2" t="s">
        <v>74</v>
      </c>
      <c r="J1475" s="1" t="s">
        <v>74</v>
      </c>
      <c r="K1475" s="1" t="n">
        <v>20</v>
      </c>
    </row>
    <row r="1476" customFormat="false" ht="14.25" hidden="true" customHeight="false" outlineLevel="0" collapsed="false">
      <c r="A1476" s="1" t="n">
        <v>6</v>
      </c>
      <c r="B1476" s="1" t="s">
        <v>122</v>
      </c>
      <c r="C1476" s="1" t="s">
        <v>469</v>
      </c>
      <c r="D1476" s="23"/>
      <c r="G1476" s="21" t="n">
        <f aca="false">K1476/3.1416</f>
        <v>13.3689839572193</v>
      </c>
      <c r="H1476" s="1" t="n">
        <v>15</v>
      </c>
      <c r="I1476" s="2" t="s">
        <v>74</v>
      </c>
      <c r="J1476" s="1" t="s">
        <v>149</v>
      </c>
      <c r="K1476" s="1" t="n">
        <v>42</v>
      </c>
    </row>
    <row r="1477" customFormat="false" ht="14.25" hidden="true" customHeight="false" outlineLevel="0" collapsed="false">
      <c r="A1477" s="1" t="n">
        <v>8</v>
      </c>
      <c r="B1477" s="1" t="s">
        <v>122</v>
      </c>
      <c r="C1477" s="1" t="s">
        <v>469</v>
      </c>
      <c r="D1477" s="23" t="s">
        <v>248</v>
      </c>
      <c r="E1477" s="1" t="s">
        <v>247</v>
      </c>
      <c r="G1477" s="21" t="n">
        <f aca="false">K1477/3.1416</f>
        <v>4.1380188439012</v>
      </c>
      <c r="H1477" s="1" t="n">
        <v>5</v>
      </c>
      <c r="I1477" s="2" t="s">
        <v>129</v>
      </c>
      <c r="J1477" s="1" t="s">
        <v>149</v>
      </c>
      <c r="K1477" s="1" t="n">
        <v>13</v>
      </c>
    </row>
    <row r="1478" customFormat="false" ht="14.25" hidden="true" customHeight="false" outlineLevel="0" collapsed="false">
      <c r="A1478" s="1" t="n">
        <v>10</v>
      </c>
      <c r="B1478" s="1" t="s">
        <v>82</v>
      </c>
      <c r="C1478" s="1" t="s">
        <v>469</v>
      </c>
      <c r="D1478" s="23"/>
      <c r="G1478" s="21" t="n">
        <f aca="false">K1478/3.1416</f>
        <v>4.7746371275783</v>
      </c>
      <c r="H1478" s="1" t="n">
        <v>6</v>
      </c>
      <c r="I1478" s="2" t="s">
        <v>129</v>
      </c>
      <c r="J1478" s="1" t="s">
        <v>149</v>
      </c>
      <c r="K1478" s="1" t="n">
        <v>15</v>
      </c>
    </row>
    <row r="1479" customFormat="false" ht="14.25" hidden="false" customHeight="false" outlineLevel="0" collapsed="false">
      <c r="A1479" s="1" t="n">
        <v>10</v>
      </c>
      <c r="B1479" s="1" t="s">
        <v>82</v>
      </c>
      <c r="C1479" s="1" t="s">
        <v>469</v>
      </c>
      <c r="D1479" s="23"/>
      <c r="G1479" s="21" t="n">
        <f aca="false">K1479/3.1416</f>
        <v>5.72956455309397</v>
      </c>
      <c r="H1479" s="1" t="n">
        <v>8</v>
      </c>
      <c r="I1479" s="2" t="s">
        <v>129</v>
      </c>
      <c r="J1479" s="1" t="s">
        <v>149</v>
      </c>
      <c r="K1479" s="1" t="n">
        <v>18</v>
      </c>
    </row>
    <row r="1480" customFormat="false" ht="14.25" hidden="true" customHeight="false" outlineLevel="0" collapsed="false">
      <c r="A1480" s="1" t="n">
        <v>17</v>
      </c>
      <c r="B1480" s="1" t="s">
        <v>128</v>
      </c>
      <c r="C1480" s="1" t="s">
        <v>469</v>
      </c>
      <c r="D1480" s="23"/>
      <c r="G1480" s="21" t="n">
        <f aca="false">K1480/3.1416</f>
        <v>51.5660809778457</v>
      </c>
      <c r="H1480" s="1" t="n">
        <v>30</v>
      </c>
      <c r="I1480" s="1" t="s">
        <v>129</v>
      </c>
      <c r="J1480" s="1" t="s">
        <v>149</v>
      </c>
      <c r="K1480" s="1" t="n">
        <v>162</v>
      </c>
    </row>
    <row r="1481" customFormat="false" ht="14.25" hidden="true" customHeight="false" outlineLevel="0" collapsed="false">
      <c r="A1481" s="1" t="n">
        <v>29</v>
      </c>
      <c r="B1481" s="1" t="s">
        <v>131</v>
      </c>
      <c r="C1481" s="1" t="s">
        <v>469</v>
      </c>
      <c r="D1481" s="23" t="s">
        <v>470</v>
      </c>
      <c r="E1481" s="1" t="s">
        <v>210</v>
      </c>
      <c r="F1481" s="1" t="s">
        <v>120</v>
      </c>
      <c r="G1481" s="21" t="n">
        <f aca="false">K1481/3.1416</f>
        <v>2.54647313470843</v>
      </c>
      <c r="H1481" s="1" t="n">
        <v>5</v>
      </c>
      <c r="I1481" s="1" t="s">
        <v>127</v>
      </c>
      <c r="J1481" s="1" t="s">
        <v>149</v>
      </c>
      <c r="K1481" s="1" t="n">
        <v>8</v>
      </c>
    </row>
    <row r="1482" customFormat="false" ht="14.25" hidden="true" customHeight="false" outlineLevel="0" collapsed="false">
      <c r="A1482" s="1" t="n">
        <v>1</v>
      </c>
      <c r="B1482" s="1" t="s">
        <v>72</v>
      </c>
      <c r="C1482" s="1" t="s">
        <v>469</v>
      </c>
      <c r="D1482" s="23"/>
      <c r="G1482" s="21" t="n">
        <f aca="false">ROUND(K1482/PI(),0)</f>
        <v>15</v>
      </c>
      <c r="H1482" s="1" t="n">
        <v>10</v>
      </c>
      <c r="I1482" s="1" t="s">
        <v>129</v>
      </c>
      <c r="J1482" s="1" t="s">
        <v>224</v>
      </c>
      <c r="K1482" s="1" t="n">
        <v>47</v>
      </c>
    </row>
    <row r="1483" customFormat="false" ht="14.25" hidden="true" customHeight="false" outlineLevel="0" collapsed="false">
      <c r="A1483" s="1" t="n">
        <v>2</v>
      </c>
      <c r="B1483" s="1" t="s">
        <v>72</v>
      </c>
      <c r="C1483" s="1" t="s">
        <v>469</v>
      </c>
      <c r="D1483" s="23"/>
      <c r="G1483" s="21" t="n">
        <f aca="false">ROUND(K1483/PI(),0)</f>
        <v>7</v>
      </c>
      <c r="H1483" s="1" t="n">
        <v>7</v>
      </c>
      <c r="I1483" s="1" t="s">
        <v>129</v>
      </c>
      <c r="J1483" s="1" t="s">
        <v>162</v>
      </c>
      <c r="K1483" s="1" t="n">
        <v>21</v>
      </c>
    </row>
    <row r="1484" customFormat="false" ht="14.25" hidden="true" customHeight="false" outlineLevel="0" collapsed="false">
      <c r="A1484" s="1" t="n">
        <v>5</v>
      </c>
      <c r="B1484" s="1" t="s">
        <v>122</v>
      </c>
      <c r="C1484" s="1" t="s">
        <v>471</v>
      </c>
      <c r="D1484" s="23" t="s">
        <v>297</v>
      </c>
      <c r="E1484" s="1" t="s">
        <v>210</v>
      </c>
      <c r="F1484" s="2" t="s">
        <v>197</v>
      </c>
      <c r="G1484" s="21" t="n">
        <f aca="false">K1484/3.1416</f>
        <v>23.554876496053</v>
      </c>
      <c r="H1484" s="1" t="n">
        <v>0</v>
      </c>
      <c r="I1484" s="2" t="s">
        <v>74</v>
      </c>
      <c r="J1484" s="1" t="s">
        <v>130</v>
      </c>
      <c r="K1484" s="1" t="n">
        <v>74</v>
      </c>
    </row>
    <row r="1485" customFormat="false" ht="14.25" hidden="true" customHeight="false" outlineLevel="0" collapsed="false">
      <c r="A1485" s="1" t="n">
        <v>12</v>
      </c>
      <c r="B1485" s="1" t="s">
        <v>128</v>
      </c>
      <c r="C1485" s="1" t="s">
        <v>471</v>
      </c>
      <c r="D1485" s="23"/>
      <c r="G1485" s="21" t="n">
        <f aca="false">K1485/3.1416</f>
        <v>11.4591291061879</v>
      </c>
      <c r="H1485" s="1" t="n">
        <v>8</v>
      </c>
      <c r="I1485" s="1" t="s">
        <v>129</v>
      </c>
      <c r="J1485" s="1" t="s">
        <v>130</v>
      </c>
      <c r="K1485" s="1" t="n">
        <v>36</v>
      </c>
    </row>
    <row r="1486" customFormat="false" ht="14.25" hidden="true" customHeight="false" outlineLevel="0" collapsed="false">
      <c r="A1486" s="1" t="n">
        <v>17</v>
      </c>
      <c r="B1486" s="1" t="s">
        <v>128</v>
      </c>
      <c r="C1486" s="1" t="s">
        <v>471</v>
      </c>
      <c r="D1486" s="23" t="s">
        <v>472</v>
      </c>
      <c r="E1486" s="1" t="s">
        <v>289</v>
      </c>
      <c r="F1486" s="1" t="s">
        <v>120</v>
      </c>
      <c r="G1486" s="21" t="n">
        <f aca="false">K1486/3.1416</f>
        <v>6.68449197860963</v>
      </c>
      <c r="H1486" s="1" t="n">
        <v>9</v>
      </c>
      <c r="I1486" s="1" t="s">
        <v>129</v>
      </c>
      <c r="J1486" s="1" t="s">
        <v>130</v>
      </c>
      <c r="K1486" s="1" t="n">
        <v>21</v>
      </c>
    </row>
    <row r="1487" customFormat="false" ht="14.25" hidden="true" customHeight="false" outlineLevel="0" collapsed="false">
      <c r="A1487" s="1" t="n">
        <v>17</v>
      </c>
      <c r="B1487" s="1" t="s">
        <v>128</v>
      </c>
      <c r="C1487" s="1" t="s">
        <v>471</v>
      </c>
      <c r="D1487" s="23" t="s">
        <v>472</v>
      </c>
      <c r="E1487" s="1" t="s">
        <v>289</v>
      </c>
      <c r="F1487" s="1" t="s">
        <v>120</v>
      </c>
      <c r="G1487" s="21" t="n">
        <f aca="false">K1487/3.1416</f>
        <v>2.54647313470843</v>
      </c>
      <c r="H1487" s="1" t="n">
        <v>1</v>
      </c>
      <c r="I1487" s="1" t="s">
        <v>127</v>
      </c>
      <c r="J1487" s="1" t="s">
        <v>130</v>
      </c>
      <c r="K1487" s="1" t="n">
        <v>8</v>
      </c>
    </row>
    <row r="1488" customFormat="false" ht="14.25" hidden="true" customHeight="false" outlineLevel="0" collapsed="false">
      <c r="A1488" s="1" t="n">
        <v>17</v>
      </c>
      <c r="B1488" s="1" t="s">
        <v>128</v>
      </c>
      <c r="C1488" s="1" t="s">
        <v>471</v>
      </c>
      <c r="D1488" s="23" t="s">
        <v>472</v>
      </c>
      <c r="E1488" s="1" t="s">
        <v>289</v>
      </c>
      <c r="F1488" s="1" t="s">
        <v>120</v>
      </c>
      <c r="G1488" s="21" t="n">
        <f aca="false">K1488/3.1416</f>
        <v>66.8449197860963</v>
      </c>
      <c r="H1488" s="1" t="n">
        <v>30</v>
      </c>
      <c r="I1488" s="1" t="s">
        <v>129</v>
      </c>
      <c r="J1488" s="1" t="s">
        <v>130</v>
      </c>
      <c r="K1488" s="1" t="n">
        <v>210</v>
      </c>
    </row>
    <row r="1489" customFormat="false" ht="14.25" hidden="true" customHeight="false" outlineLevel="0" collapsed="false">
      <c r="A1489" s="1" t="n">
        <v>20</v>
      </c>
      <c r="B1489" s="1" t="s">
        <v>128</v>
      </c>
      <c r="C1489" s="1" t="s">
        <v>471</v>
      </c>
      <c r="D1489" s="23"/>
      <c r="E1489" s="1" t="s">
        <v>210</v>
      </c>
      <c r="F1489" s="1" t="s">
        <v>120</v>
      </c>
      <c r="G1489" s="21" t="n">
        <f aca="false">K1489/3.1416</f>
        <v>4.7746371275783</v>
      </c>
      <c r="H1489" s="1" t="n">
        <v>3</v>
      </c>
      <c r="I1489" s="1" t="s">
        <v>234</v>
      </c>
      <c r="J1489" s="1" t="s">
        <v>130</v>
      </c>
      <c r="K1489" s="1" t="n">
        <v>15</v>
      </c>
    </row>
    <row r="1490" customFormat="false" ht="14.25" hidden="true" customHeight="false" outlineLevel="0" collapsed="false">
      <c r="A1490" s="1" t="n">
        <v>23</v>
      </c>
      <c r="B1490" s="1" t="s">
        <v>135</v>
      </c>
      <c r="C1490" s="1" t="s">
        <v>471</v>
      </c>
      <c r="D1490" s="23"/>
      <c r="G1490" s="21" t="n">
        <f aca="false">K1490/3.1416</f>
        <v>21.0084033613445</v>
      </c>
      <c r="H1490" s="1" t="n">
        <v>15</v>
      </c>
      <c r="I1490" s="1" t="s">
        <v>129</v>
      </c>
      <c r="J1490" s="1" t="s">
        <v>130</v>
      </c>
      <c r="K1490" s="1" t="n">
        <v>66</v>
      </c>
    </row>
    <row r="1491" customFormat="false" ht="14.25" hidden="true" customHeight="false" outlineLevel="0" collapsed="false">
      <c r="A1491" s="1" t="n">
        <v>26</v>
      </c>
      <c r="B1491" s="1" t="s">
        <v>135</v>
      </c>
      <c r="C1491" s="1" t="s">
        <v>471</v>
      </c>
      <c r="D1491" s="23"/>
      <c r="G1491" s="21" t="n">
        <f aca="false">K1491/3.1416</f>
        <v>3.18309141838554</v>
      </c>
      <c r="H1491" s="1" t="n">
        <v>4</v>
      </c>
      <c r="I1491" s="1" t="s">
        <v>134</v>
      </c>
      <c r="J1491" s="1" t="s">
        <v>130</v>
      </c>
      <c r="K1491" s="1" t="n">
        <v>10</v>
      </c>
    </row>
    <row r="1492" customFormat="false" ht="14.25" hidden="true" customHeight="false" outlineLevel="0" collapsed="false">
      <c r="A1492" s="1" t="n">
        <v>26</v>
      </c>
      <c r="B1492" s="1" t="s">
        <v>135</v>
      </c>
      <c r="C1492" s="1" t="s">
        <v>471</v>
      </c>
      <c r="D1492" s="23"/>
      <c r="G1492" s="21" t="n">
        <f aca="false">K1492/3.1416</f>
        <v>14.6422205245735</v>
      </c>
      <c r="H1492" s="1" t="n">
        <v>12</v>
      </c>
      <c r="I1492" s="1" t="s">
        <v>127</v>
      </c>
      <c r="J1492" s="1" t="s">
        <v>130</v>
      </c>
      <c r="K1492" s="1" t="n">
        <v>46</v>
      </c>
    </row>
    <row r="1493" customFormat="false" ht="14.25" hidden="true" customHeight="false" outlineLevel="0" collapsed="false">
      <c r="A1493" s="1" t="n">
        <v>27</v>
      </c>
      <c r="B1493" s="1" t="s">
        <v>82</v>
      </c>
      <c r="C1493" s="1" t="s">
        <v>471</v>
      </c>
      <c r="D1493" s="23"/>
      <c r="G1493" s="21" t="n">
        <f aca="false">K1493/3.1416</f>
        <v>20.690094219506</v>
      </c>
      <c r="H1493" s="1" t="n">
        <v>25</v>
      </c>
      <c r="I1493" s="1" t="s">
        <v>129</v>
      </c>
      <c r="J1493" s="1" t="s">
        <v>130</v>
      </c>
      <c r="K1493" s="1" t="n">
        <v>65</v>
      </c>
    </row>
    <row r="1494" customFormat="false" ht="14.25" hidden="true" customHeight="false" outlineLevel="0" collapsed="false">
      <c r="A1494" s="1" t="n">
        <v>29</v>
      </c>
      <c r="B1494" s="1" t="s">
        <v>131</v>
      </c>
      <c r="C1494" s="1" t="s">
        <v>471</v>
      </c>
      <c r="D1494" s="23"/>
      <c r="G1494" s="21" t="n">
        <f aca="false">K1494/3.1416</f>
        <v>9.23096511331806</v>
      </c>
      <c r="H1494" s="1" t="n">
        <v>12</v>
      </c>
      <c r="I1494" s="1" t="s">
        <v>129</v>
      </c>
      <c r="J1494" s="1" t="s">
        <v>130</v>
      </c>
      <c r="K1494" s="1" t="n">
        <v>29</v>
      </c>
    </row>
    <row r="1495" customFormat="false" ht="14.25" hidden="true" customHeight="false" outlineLevel="0" collapsed="false">
      <c r="A1495" s="1" t="n">
        <v>29</v>
      </c>
      <c r="B1495" s="1" t="s">
        <v>131</v>
      </c>
      <c r="C1495" s="1" t="s">
        <v>471</v>
      </c>
      <c r="D1495" s="23"/>
      <c r="G1495" s="21" t="n">
        <f aca="false">K1495/3.1416</f>
        <v>26.1013496307614</v>
      </c>
      <c r="H1495" s="1" t="n">
        <v>20</v>
      </c>
      <c r="I1495" s="1" t="s">
        <v>129</v>
      </c>
      <c r="J1495" s="1" t="s">
        <v>130</v>
      </c>
      <c r="K1495" s="1" t="n">
        <v>82</v>
      </c>
    </row>
    <row r="1496" customFormat="false" ht="14.25" hidden="true" customHeight="false" outlineLevel="0" collapsed="false">
      <c r="A1496" s="1" t="n">
        <v>31</v>
      </c>
      <c r="B1496" s="1" t="s">
        <v>131</v>
      </c>
      <c r="C1496" s="1" t="s">
        <v>471</v>
      </c>
      <c r="D1496" s="23"/>
      <c r="G1496" s="21" t="n">
        <f aca="false">K1496/3.1416</f>
        <v>18.7802393684747</v>
      </c>
      <c r="H1496" s="1" t="n">
        <v>12</v>
      </c>
      <c r="I1496" s="1" t="s">
        <v>129</v>
      </c>
      <c r="J1496" s="1" t="s">
        <v>130</v>
      </c>
      <c r="K1496" s="1" t="n">
        <v>59</v>
      </c>
    </row>
    <row r="1497" customFormat="false" ht="14.25" hidden="true" customHeight="false" outlineLevel="0" collapsed="false">
      <c r="A1497" s="1" t="n">
        <v>6</v>
      </c>
      <c r="B1497" s="1" t="s">
        <v>92</v>
      </c>
      <c r="C1497" s="1" t="s">
        <v>471</v>
      </c>
      <c r="D1497" s="23"/>
      <c r="G1497" s="21" t="n">
        <f aca="false">ROUND(K1497/PI(),0)</f>
        <v>10</v>
      </c>
      <c r="H1497" s="1" t="n">
        <v>10</v>
      </c>
      <c r="I1497" s="1" t="s">
        <v>129</v>
      </c>
      <c r="J1497" s="1" t="s">
        <v>162</v>
      </c>
      <c r="K1497" s="1" t="n">
        <v>30</v>
      </c>
    </row>
    <row r="1498" customFormat="false" ht="14.25" hidden="true" customHeight="false" outlineLevel="0" collapsed="false">
      <c r="A1498" s="1" t="n">
        <v>3</v>
      </c>
      <c r="B1498" s="1" t="s">
        <v>122</v>
      </c>
      <c r="C1498" s="1" t="s">
        <v>473</v>
      </c>
      <c r="D1498" s="23" t="s">
        <v>422</v>
      </c>
      <c r="E1498" s="1" t="s">
        <v>210</v>
      </c>
      <c r="F1498" s="2" t="s">
        <v>120</v>
      </c>
      <c r="G1498" s="21" t="n">
        <f aca="false">K1498/3.1416</f>
        <v>3.81970970206264</v>
      </c>
      <c r="H1498" s="1" t="n">
        <v>0</v>
      </c>
      <c r="I1498" s="2" t="s">
        <v>74</v>
      </c>
      <c r="J1498" s="1" t="s">
        <v>474</v>
      </c>
      <c r="K1498" s="1" t="n">
        <v>12</v>
      </c>
    </row>
    <row r="1499" customFormat="false" ht="14.25" hidden="true" customHeight="false" outlineLevel="0" collapsed="false">
      <c r="A1499" s="1" t="n">
        <v>5</v>
      </c>
      <c r="B1499" s="1" t="s">
        <v>122</v>
      </c>
      <c r="C1499" s="1" t="s">
        <v>473</v>
      </c>
      <c r="D1499" s="23" t="s">
        <v>475</v>
      </c>
      <c r="E1499" s="1" t="s">
        <v>210</v>
      </c>
      <c r="F1499" s="2" t="s">
        <v>120</v>
      </c>
      <c r="G1499" s="21" t="n">
        <f aca="false">K1499/3.1416</f>
        <v>4.7746371275783</v>
      </c>
      <c r="H1499" s="1" t="n">
        <v>0</v>
      </c>
      <c r="I1499" s="2" t="s">
        <v>74</v>
      </c>
      <c r="J1499" s="1" t="s">
        <v>476</v>
      </c>
      <c r="K1499" s="1" t="n">
        <v>15</v>
      </c>
    </row>
    <row r="1500" customFormat="false" ht="14.25" hidden="true" customHeight="false" outlineLevel="0" collapsed="false">
      <c r="A1500" s="1" t="n">
        <v>12</v>
      </c>
      <c r="B1500" s="1" t="s">
        <v>128</v>
      </c>
      <c r="C1500" s="1" t="s">
        <v>473</v>
      </c>
      <c r="D1500" s="23"/>
      <c r="G1500" s="21" t="n">
        <f aca="false">K1500/3.1416</f>
        <v>3.81970970206264</v>
      </c>
      <c r="H1500" s="1" t="n">
        <v>5</v>
      </c>
      <c r="I1500" s="1" t="s">
        <v>129</v>
      </c>
      <c r="J1500" s="1" t="s">
        <v>474</v>
      </c>
      <c r="K1500" s="1" t="n">
        <v>12</v>
      </c>
    </row>
    <row r="1501" customFormat="false" ht="14.25" hidden="true" customHeight="false" outlineLevel="0" collapsed="false">
      <c r="A1501" s="1" t="n">
        <v>12</v>
      </c>
      <c r="B1501" s="1" t="s">
        <v>128</v>
      </c>
      <c r="C1501" s="1" t="s">
        <v>473</v>
      </c>
      <c r="D1501" s="23" t="s">
        <v>477</v>
      </c>
      <c r="E1501" s="1" t="s">
        <v>151</v>
      </c>
      <c r="F1501" s="1" t="s">
        <v>120</v>
      </c>
      <c r="G1501" s="21" t="n">
        <f aca="false">K1501/3.1416</f>
        <v>3.18309141838554</v>
      </c>
      <c r="H1501" s="1" t="n">
        <v>6</v>
      </c>
      <c r="I1501" s="1" t="s">
        <v>129</v>
      </c>
      <c r="J1501" s="1" t="s">
        <v>474</v>
      </c>
      <c r="K1501" s="1" t="n">
        <v>10</v>
      </c>
    </row>
    <row r="1502" customFormat="false" ht="14.25" hidden="true" customHeight="false" outlineLevel="0" collapsed="false">
      <c r="A1502" s="1" t="n">
        <v>13</v>
      </c>
      <c r="B1502" s="1" t="s">
        <v>128</v>
      </c>
      <c r="C1502" s="1" t="s">
        <v>473</v>
      </c>
      <c r="D1502" s="23" t="s">
        <v>477</v>
      </c>
      <c r="E1502" s="1" t="s">
        <v>151</v>
      </c>
      <c r="F1502" s="1" t="s">
        <v>120</v>
      </c>
      <c r="G1502" s="21" t="n">
        <f aca="false">2*K1502/3.1416</f>
        <v>9.54927425515661</v>
      </c>
      <c r="H1502" s="1" t="n">
        <v>7</v>
      </c>
      <c r="I1502" s="1" t="s">
        <v>129</v>
      </c>
      <c r="J1502" s="1" t="s">
        <v>474</v>
      </c>
      <c r="K1502" s="1" t="n">
        <v>15</v>
      </c>
    </row>
    <row r="1503" customFormat="false" ht="14.25" hidden="true" customHeight="false" outlineLevel="0" collapsed="false">
      <c r="A1503" s="1" t="n">
        <v>17</v>
      </c>
      <c r="B1503" s="1" t="s">
        <v>128</v>
      </c>
      <c r="C1503" s="1" t="s">
        <v>473</v>
      </c>
      <c r="D1503" s="23" t="s">
        <v>300</v>
      </c>
      <c r="E1503" s="1" t="s">
        <v>210</v>
      </c>
      <c r="F1503" s="1" t="s">
        <v>120</v>
      </c>
      <c r="G1503" s="21" t="n">
        <f aca="false">K1503/3.1416</f>
        <v>2.54647313470843</v>
      </c>
      <c r="H1503" s="1" t="n">
        <v>4</v>
      </c>
      <c r="I1503" s="1" t="s">
        <v>129</v>
      </c>
      <c r="J1503" s="1" t="s">
        <v>474</v>
      </c>
      <c r="K1503" s="1" t="n">
        <v>8</v>
      </c>
    </row>
    <row r="1504" customFormat="false" ht="14.25" hidden="true" customHeight="false" outlineLevel="0" collapsed="false">
      <c r="A1504" s="1" t="n">
        <v>17</v>
      </c>
      <c r="B1504" s="1" t="s">
        <v>128</v>
      </c>
      <c r="C1504" s="1" t="s">
        <v>473</v>
      </c>
      <c r="D1504" s="23" t="s">
        <v>300</v>
      </c>
      <c r="E1504" s="1" t="s">
        <v>210</v>
      </c>
      <c r="F1504" s="1" t="s">
        <v>120</v>
      </c>
      <c r="G1504" s="21" t="n">
        <f aca="false">K1504/3.1416</f>
        <v>2.54647313470843</v>
      </c>
      <c r="H1504" s="1" t="n">
        <v>5</v>
      </c>
      <c r="I1504" s="1" t="s">
        <v>127</v>
      </c>
      <c r="J1504" s="1" t="s">
        <v>474</v>
      </c>
      <c r="K1504" s="1" t="n">
        <v>8</v>
      </c>
    </row>
    <row r="1505" customFormat="false" ht="14.25" hidden="true" customHeight="false" outlineLevel="0" collapsed="false">
      <c r="A1505" s="1" t="n">
        <v>22</v>
      </c>
      <c r="B1505" s="1" t="s">
        <v>135</v>
      </c>
      <c r="C1505" s="1" t="s">
        <v>473</v>
      </c>
      <c r="D1505" s="23"/>
      <c r="G1505" s="21" t="n">
        <f aca="false">K1505/3.1416</f>
        <v>22.2816399286988</v>
      </c>
      <c r="H1505" s="1" t="n">
        <v>20</v>
      </c>
      <c r="I1505" s="1" t="s">
        <v>129</v>
      </c>
      <c r="J1505" s="1" t="s">
        <v>474</v>
      </c>
      <c r="K1505" s="1" t="n">
        <v>70</v>
      </c>
    </row>
    <row r="1506" customFormat="false" ht="14.25" hidden="true" customHeight="false" outlineLevel="0" collapsed="false">
      <c r="A1506" s="1" t="n">
        <v>1</v>
      </c>
      <c r="B1506" s="1" t="s">
        <v>72</v>
      </c>
      <c r="C1506" s="1" t="s">
        <v>473</v>
      </c>
      <c r="D1506" s="23" t="s">
        <v>225</v>
      </c>
      <c r="E1506" s="1" t="s">
        <v>186</v>
      </c>
      <c r="F1506" s="1" t="s">
        <v>138</v>
      </c>
      <c r="G1506" s="21" t="n">
        <f aca="false">ROUND(K1506/PI(),0)</f>
        <v>5</v>
      </c>
      <c r="H1506" s="1" t="n">
        <v>10</v>
      </c>
      <c r="I1506" s="1" t="s">
        <v>129</v>
      </c>
      <c r="J1506" s="1" t="s">
        <v>152</v>
      </c>
      <c r="K1506" s="1" t="n">
        <v>15</v>
      </c>
    </row>
    <row r="1507" customFormat="false" ht="14.25" hidden="true" customHeight="false" outlineLevel="0" collapsed="false">
      <c r="A1507" s="1" t="n">
        <v>1</v>
      </c>
      <c r="B1507" s="1" t="s">
        <v>72</v>
      </c>
      <c r="C1507" s="1" t="s">
        <v>473</v>
      </c>
      <c r="D1507" s="23"/>
      <c r="G1507" s="21" t="n">
        <f aca="false">ROUND(K1507/PI(),0)</f>
        <v>9</v>
      </c>
      <c r="H1507" s="1" t="n">
        <v>8</v>
      </c>
      <c r="I1507" s="1" t="s">
        <v>129</v>
      </c>
      <c r="J1507" s="1" t="s">
        <v>152</v>
      </c>
      <c r="K1507" s="1" t="n">
        <v>28</v>
      </c>
    </row>
    <row r="1508" customFormat="false" ht="14.25" hidden="true" customHeight="false" outlineLevel="0" collapsed="false">
      <c r="A1508" s="1" t="n">
        <v>3</v>
      </c>
      <c r="B1508" s="1" t="s">
        <v>82</v>
      </c>
      <c r="C1508" s="1" t="s">
        <v>473</v>
      </c>
      <c r="D1508" s="23"/>
      <c r="G1508" s="21" t="n">
        <f aca="false">ROUND(K1508/PI(),0)</f>
        <v>4</v>
      </c>
      <c r="H1508" s="1" t="n">
        <v>7</v>
      </c>
      <c r="I1508" s="1" t="s">
        <v>127</v>
      </c>
      <c r="J1508" s="1" t="s">
        <v>152</v>
      </c>
      <c r="K1508" s="1" t="n">
        <v>14</v>
      </c>
    </row>
    <row r="1509" customFormat="false" ht="14.25" hidden="true" customHeight="false" outlineLevel="0" collapsed="false">
      <c r="A1509" s="1" t="n">
        <v>3</v>
      </c>
      <c r="B1509" s="1" t="s">
        <v>82</v>
      </c>
      <c r="C1509" s="1" t="s">
        <v>473</v>
      </c>
      <c r="D1509" s="23"/>
      <c r="G1509" s="21" t="n">
        <f aca="false">ROUND(K1509/PI(),0)</f>
        <v>3</v>
      </c>
      <c r="H1509" s="1" t="n">
        <v>5</v>
      </c>
      <c r="I1509" s="1" t="s">
        <v>129</v>
      </c>
      <c r="J1509" s="1" t="s">
        <v>152</v>
      </c>
      <c r="K1509" s="1" t="n">
        <v>9</v>
      </c>
    </row>
    <row r="1510" customFormat="false" ht="14.25" hidden="true" customHeight="false" outlineLevel="0" collapsed="false">
      <c r="A1510" s="1" t="n">
        <v>5</v>
      </c>
      <c r="B1510" s="1" t="s">
        <v>92</v>
      </c>
      <c r="C1510" s="1" t="s">
        <v>473</v>
      </c>
      <c r="D1510" s="23" t="s">
        <v>171</v>
      </c>
      <c r="E1510" s="1" t="s">
        <v>142</v>
      </c>
      <c r="F1510" s="1" t="s">
        <v>138</v>
      </c>
      <c r="G1510" s="21" t="n">
        <f aca="false">ROUND(K1510/PI(),0)</f>
        <v>3</v>
      </c>
      <c r="H1510" s="1" t="n">
        <v>5</v>
      </c>
      <c r="I1510" s="1" t="s">
        <v>127</v>
      </c>
      <c r="J1510" s="1" t="s">
        <v>152</v>
      </c>
      <c r="K1510" s="1" t="n">
        <v>10</v>
      </c>
    </row>
    <row r="1511" customFormat="false" ht="14.25" hidden="true" customHeight="false" outlineLevel="0" collapsed="false">
      <c r="A1511" s="1" t="n">
        <v>5</v>
      </c>
      <c r="B1511" s="1" t="s">
        <v>92</v>
      </c>
      <c r="C1511" s="1" t="s">
        <v>473</v>
      </c>
      <c r="D1511" s="23"/>
      <c r="G1511" s="21" t="n">
        <f aca="false">ROUND(K1511/PI(),0)</f>
        <v>6</v>
      </c>
      <c r="H1511" s="1" t="n">
        <v>8</v>
      </c>
      <c r="I1511" s="1" t="s">
        <v>129</v>
      </c>
      <c r="J1511" s="1" t="s">
        <v>152</v>
      </c>
      <c r="K1511" s="1" t="n">
        <v>18</v>
      </c>
    </row>
    <row r="1512" customFormat="false" ht="14.25" hidden="true" customHeight="false" outlineLevel="0" collapsed="false">
      <c r="A1512" s="1" t="n">
        <v>6</v>
      </c>
      <c r="B1512" s="1" t="s">
        <v>92</v>
      </c>
      <c r="C1512" s="1" t="s">
        <v>473</v>
      </c>
      <c r="D1512" s="23"/>
      <c r="G1512" s="21" t="n">
        <f aca="false">ROUND(K1512/PI(),0)</f>
        <v>6</v>
      </c>
      <c r="H1512" s="1" t="n">
        <v>8</v>
      </c>
      <c r="I1512" s="1" t="s">
        <v>129</v>
      </c>
      <c r="J1512" s="1" t="s">
        <v>152</v>
      </c>
      <c r="K1512" s="1" t="n">
        <v>18</v>
      </c>
    </row>
    <row r="1513" customFormat="false" ht="14.25" hidden="true" customHeight="false" outlineLevel="0" collapsed="false">
      <c r="A1513" s="1" t="n">
        <v>6</v>
      </c>
      <c r="B1513" s="1" t="s">
        <v>92</v>
      </c>
      <c r="C1513" s="1" t="s">
        <v>473</v>
      </c>
      <c r="D1513" s="23"/>
      <c r="G1513" s="21" t="n">
        <f aca="false">ROUND(K1513/PI(),0)</f>
        <v>4</v>
      </c>
      <c r="H1513" s="1" t="n">
        <v>7</v>
      </c>
      <c r="I1513" s="1" t="s">
        <v>129</v>
      </c>
      <c r="J1513" s="1" t="s">
        <v>152</v>
      </c>
      <c r="K1513" s="1" t="n">
        <v>12</v>
      </c>
    </row>
    <row r="1514" customFormat="false" ht="14.25" hidden="true" customHeight="false" outlineLevel="0" collapsed="false">
      <c r="A1514" s="1" t="n">
        <v>6</v>
      </c>
      <c r="B1514" s="1" t="s">
        <v>92</v>
      </c>
      <c r="C1514" s="1" t="s">
        <v>473</v>
      </c>
      <c r="D1514" s="23"/>
      <c r="G1514" s="21" t="n">
        <f aca="false">ROUND(K1514/PI(),0)</f>
        <v>3</v>
      </c>
      <c r="H1514" s="1" t="n">
        <v>6</v>
      </c>
      <c r="I1514" s="1" t="s">
        <v>129</v>
      </c>
      <c r="J1514" s="1" t="s">
        <v>152</v>
      </c>
      <c r="K1514" s="1" t="n">
        <v>9</v>
      </c>
    </row>
    <row r="1515" customFormat="false" ht="14.25" hidden="true" customHeight="false" outlineLevel="0" collapsed="false">
      <c r="A1515" s="1" t="n">
        <v>6</v>
      </c>
      <c r="B1515" s="1" t="s">
        <v>92</v>
      </c>
      <c r="C1515" s="1" t="s">
        <v>473</v>
      </c>
      <c r="D1515" s="23"/>
      <c r="G1515" s="21" t="n">
        <f aca="false">ROUND(K1515/PI(),0)</f>
        <v>3</v>
      </c>
      <c r="H1515" s="1" t="n">
        <v>6</v>
      </c>
      <c r="I1515" s="1" t="s">
        <v>129</v>
      </c>
      <c r="J1515" s="1" t="s">
        <v>152</v>
      </c>
      <c r="K1515" s="1" t="n">
        <v>10</v>
      </c>
    </row>
    <row r="1516" customFormat="false" ht="14.25" hidden="true" customHeight="false" outlineLevel="0" collapsed="false">
      <c r="A1516" s="1" t="n">
        <v>7</v>
      </c>
      <c r="B1516" s="1" t="s">
        <v>101</v>
      </c>
      <c r="C1516" s="1" t="s">
        <v>473</v>
      </c>
      <c r="D1516" s="23"/>
      <c r="G1516" s="21" t="n">
        <f aca="false">ROUND(K1516/PI(),0)</f>
        <v>3</v>
      </c>
      <c r="H1516" s="1" t="n">
        <v>6</v>
      </c>
      <c r="I1516" s="1" t="s">
        <v>129</v>
      </c>
      <c r="J1516" s="1" t="s">
        <v>141</v>
      </c>
      <c r="K1516" s="1" t="n">
        <v>9</v>
      </c>
    </row>
    <row r="1517" customFormat="false" ht="14.25" hidden="true" customHeight="false" outlineLevel="0" collapsed="false">
      <c r="A1517" s="1" t="n">
        <v>2</v>
      </c>
      <c r="B1517" s="1" t="s">
        <v>72</v>
      </c>
      <c r="C1517" s="1" t="s">
        <v>478</v>
      </c>
      <c r="D1517" s="23" t="s">
        <v>168</v>
      </c>
      <c r="E1517" s="1" t="s">
        <v>169</v>
      </c>
      <c r="F1517" s="1" t="s">
        <v>138</v>
      </c>
      <c r="G1517" s="21" t="n">
        <f aca="false">ROUND(K1517/PI(),0)</f>
        <v>4</v>
      </c>
      <c r="H1517" s="1" t="n">
        <v>5</v>
      </c>
      <c r="I1517" s="1" t="s">
        <v>129</v>
      </c>
      <c r="J1517" s="1" t="s">
        <v>162</v>
      </c>
      <c r="K1517" s="1" t="n">
        <v>11</v>
      </c>
    </row>
    <row r="1518" customFormat="false" ht="14.25" hidden="true" customHeight="false" outlineLevel="0" collapsed="false">
      <c r="A1518" s="1" t="n">
        <v>7</v>
      </c>
      <c r="B1518" s="1" t="s">
        <v>122</v>
      </c>
      <c r="C1518" s="1" t="s">
        <v>479</v>
      </c>
      <c r="D1518" s="23" t="s">
        <v>480</v>
      </c>
      <c r="E1518" s="1" t="s">
        <v>151</v>
      </c>
      <c r="F1518" s="2" t="s">
        <v>197</v>
      </c>
      <c r="G1518" s="21" t="n">
        <f aca="false">K1518/3.1416</f>
        <v>39.4703335879807</v>
      </c>
      <c r="H1518" s="1" t="n">
        <v>15</v>
      </c>
      <c r="I1518" s="2" t="s">
        <v>74</v>
      </c>
      <c r="J1518" s="1" t="s">
        <v>74</v>
      </c>
      <c r="K1518" s="1" t="n">
        <v>124</v>
      </c>
    </row>
    <row r="1519" customFormat="false" ht="14.25" hidden="true" customHeight="false" outlineLevel="0" collapsed="false">
      <c r="A1519" s="1" t="n">
        <v>7</v>
      </c>
      <c r="B1519" s="1" t="s">
        <v>101</v>
      </c>
      <c r="C1519" s="1" t="s">
        <v>479</v>
      </c>
      <c r="D1519" s="23" t="s">
        <v>480</v>
      </c>
      <c r="E1519" s="1" t="s">
        <v>151</v>
      </c>
      <c r="F1519" s="1" t="s">
        <v>197</v>
      </c>
      <c r="G1519" s="21" t="n">
        <f aca="false">ROUND(K1519/PI(),0)</f>
        <v>21</v>
      </c>
      <c r="H1519" s="1" t="n">
        <v>12</v>
      </c>
      <c r="I1519" s="1" t="s">
        <v>129</v>
      </c>
      <c r="J1519" s="1" t="s">
        <v>401</v>
      </c>
      <c r="K1519" s="1" t="n">
        <v>67</v>
      </c>
    </row>
    <row r="1520" customFormat="false" ht="14.25" hidden="true" customHeight="false" outlineLevel="0" collapsed="false">
      <c r="A1520" s="1" t="n">
        <v>29</v>
      </c>
      <c r="B1520" s="1" t="s">
        <v>131</v>
      </c>
      <c r="C1520" s="1" t="s">
        <v>481</v>
      </c>
      <c r="D1520" s="23" t="s">
        <v>217</v>
      </c>
      <c r="E1520" s="1" t="s">
        <v>160</v>
      </c>
      <c r="F1520" s="1" t="s">
        <v>197</v>
      </c>
      <c r="G1520" s="21" t="n">
        <f aca="false">K1520/3.1416</f>
        <v>3.50140056022409</v>
      </c>
      <c r="H1520" s="1" t="n">
        <v>5</v>
      </c>
      <c r="I1520" s="1" t="s">
        <v>129</v>
      </c>
      <c r="J1520" s="1" t="s">
        <v>130</v>
      </c>
      <c r="K1520" s="1" t="n">
        <v>11</v>
      </c>
    </row>
    <row r="1521" customFormat="false" ht="14.25" hidden="true" customHeight="false" outlineLevel="0" collapsed="false">
      <c r="A1521" s="1" t="n">
        <v>30</v>
      </c>
      <c r="B1521" s="1" t="s">
        <v>131</v>
      </c>
      <c r="C1521" s="1" t="s">
        <v>481</v>
      </c>
      <c r="D1521" s="23"/>
      <c r="G1521" s="21" t="n">
        <f aca="false">K1521/3.1416</f>
        <v>7.95772854596384</v>
      </c>
      <c r="H1521" s="1" t="n">
        <v>10</v>
      </c>
      <c r="I1521" s="1" t="s">
        <v>129</v>
      </c>
      <c r="J1521" s="1" t="s">
        <v>130</v>
      </c>
      <c r="K1521" s="1" t="n">
        <v>25</v>
      </c>
    </row>
    <row r="1522" customFormat="false" ht="14.25" hidden="true" customHeight="false" outlineLevel="0" collapsed="false">
      <c r="A1522" s="1" t="n">
        <v>2</v>
      </c>
      <c r="B1522" s="1" t="s">
        <v>72</v>
      </c>
      <c r="C1522" s="1" t="s">
        <v>481</v>
      </c>
      <c r="D1522" s="23"/>
      <c r="E1522" s="1" t="s">
        <v>210</v>
      </c>
      <c r="F1522" s="1" t="s">
        <v>120</v>
      </c>
      <c r="G1522" s="21" t="n">
        <f aca="false">ROUND(K1522/PI(),0)</f>
        <v>3</v>
      </c>
      <c r="H1522" s="1" t="n">
        <v>4</v>
      </c>
      <c r="I1522" s="1" t="s">
        <v>129</v>
      </c>
      <c r="J1522" s="1" t="s">
        <v>158</v>
      </c>
      <c r="K1522" s="1" t="n">
        <v>8</v>
      </c>
    </row>
    <row r="1523" customFormat="false" ht="14.25" hidden="true" customHeight="false" outlineLevel="0" collapsed="false">
      <c r="A1523" s="1" t="n">
        <v>3</v>
      </c>
      <c r="B1523" s="1" t="s">
        <v>82</v>
      </c>
      <c r="C1523" s="1" t="s">
        <v>481</v>
      </c>
      <c r="D1523" s="23"/>
      <c r="E1523" s="1" t="s">
        <v>210</v>
      </c>
      <c r="F1523" s="1" t="s">
        <v>120</v>
      </c>
      <c r="G1523" s="21" t="n">
        <f aca="false">ROUND(K1523/PI(),0)</f>
        <v>7</v>
      </c>
      <c r="H1523" s="1" t="n">
        <v>7</v>
      </c>
      <c r="I1523" s="1" t="s">
        <v>129</v>
      </c>
      <c r="J1523" s="1" t="s">
        <v>482</v>
      </c>
      <c r="K1523" s="1" t="n">
        <v>22</v>
      </c>
    </row>
    <row r="1524" customFormat="false" ht="14.25" hidden="true" customHeight="false" outlineLevel="0" collapsed="false">
      <c r="A1524" s="1" t="n">
        <v>7</v>
      </c>
      <c r="B1524" s="1" t="s">
        <v>122</v>
      </c>
      <c r="C1524" s="1" t="s">
        <v>483</v>
      </c>
      <c r="D1524" s="23" t="s">
        <v>484</v>
      </c>
      <c r="E1524" s="1" t="s">
        <v>182</v>
      </c>
      <c r="F1524" s="2" t="s">
        <v>120</v>
      </c>
      <c r="G1524" s="21" t="n">
        <f aca="false">K1524/3.1416</f>
        <v>2.22816399286988</v>
      </c>
      <c r="H1524" s="1" t="n">
        <v>2.5</v>
      </c>
      <c r="I1524" s="2" t="s">
        <v>74</v>
      </c>
      <c r="J1524" s="1" t="s">
        <v>130</v>
      </c>
      <c r="K1524" s="1" t="n">
        <v>7</v>
      </c>
    </row>
    <row r="1525" customFormat="false" ht="14.25" hidden="true" customHeight="false" outlineLevel="0" collapsed="false">
      <c r="A1525" s="1" t="n">
        <v>8</v>
      </c>
      <c r="B1525" s="1" t="s">
        <v>122</v>
      </c>
      <c r="C1525" s="1" t="s">
        <v>483</v>
      </c>
      <c r="D1525" s="23" t="s">
        <v>484</v>
      </c>
      <c r="E1525" s="1" t="s">
        <v>182</v>
      </c>
      <c r="F1525" s="2" t="s">
        <v>120</v>
      </c>
      <c r="G1525" s="21" t="n">
        <f aca="false">K1525/3.1416</f>
        <v>4.1380188439012</v>
      </c>
      <c r="H1525" s="1" t="n">
        <v>6</v>
      </c>
      <c r="I1525" s="2" t="s">
        <v>127</v>
      </c>
      <c r="J1525" s="1" t="s">
        <v>130</v>
      </c>
      <c r="K1525" s="1" t="n">
        <v>13</v>
      </c>
    </row>
    <row r="1526" customFormat="false" ht="14.25" hidden="true" customHeight="false" outlineLevel="0" collapsed="false">
      <c r="A1526" s="1" t="n">
        <v>1</v>
      </c>
      <c r="B1526" s="1" t="s">
        <v>82</v>
      </c>
      <c r="C1526" s="1" t="s">
        <v>485</v>
      </c>
      <c r="D1526" s="23" t="s">
        <v>248</v>
      </c>
      <c r="E1526" s="1" t="s">
        <v>247</v>
      </c>
      <c r="F1526" s="2" t="s">
        <v>120</v>
      </c>
      <c r="G1526" s="21" t="n">
        <f aca="false">K1526/3.1416</f>
        <v>4.7746371275783</v>
      </c>
      <c r="H1526" s="1" t="n">
        <v>0</v>
      </c>
      <c r="I1526" s="2" t="s">
        <v>74</v>
      </c>
      <c r="J1526" s="1" t="s">
        <v>130</v>
      </c>
      <c r="K1526" s="1" t="n">
        <v>15</v>
      </c>
    </row>
    <row r="1527" customFormat="false" ht="14.25" hidden="true" customHeight="false" outlineLevel="0" collapsed="false">
      <c r="A1527" s="1" t="n">
        <v>1</v>
      </c>
      <c r="B1527" s="1" t="s">
        <v>82</v>
      </c>
      <c r="C1527" s="1" t="s">
        <v>485</v>
      </c>
      <c r="D1527" s="23" t="s">
        <v>248</v>
      </c>
      <c r="E1527" s="1" t="s">
        <v>247</v>
      </c>
      <c r="F1527" s="2" t="s">
        <v>120</v>
      </c>
      <c r="G1527" s="21" t="n">
        <f aca="false">K1527/3.1416</f>
        <v>4.7746371275783</v>
      </c>
      <c r="H1527" s="1" t="n">
        <v>0</v>
      </c>
      <c r="I1527" s="2" t="s">
        <v>74</v>
      </c>
      <c r="J1527" s="1" t="s">
        <v>130</v>
      </c>
      <c r="K1527" s="1" t="n">
        <v>15</v>
      </c>
    </row>
    <row r="1528" customFormat="false" ht="14.25" hidden="true" customHeight="false" outlineLevel="0" collapsed="false">
      <c r="A1528" s="1" t="n">
        <v>1</v>
      </c>
      <c r="B1528" s="1" t="s">
        <v>82</v>
      </c>
      <c r="C1528" s="1" t="s">
        <v>485</v>
      </c>
      <c r="D1528" s="23" t="s">
        <v>248</v>
      </c>
      <c r="E1528" s="1" t="s">
        <v>247</v>
      </c>
      <c r="F1528" s="2" t="s">
        <v>120</v>
      </c>
      <c r="G1528" s="21" t="n">
        <f aca="false">K1528/3.1416</f>
        <v>4.7746371275783</v>
      </c>
      <c r="H1528" s="1" t="n">
        <v>0</v>
      </c>
      <c r="I1528" s="2" t="s">
        <v>74</v>
      </c>
      <c r="J1528" s="1" t="s">
        <v>130</v>
      </c>
      <c r="K1528" s="1" t="n">
        <v>15</v>
      </c>
    </row>
    <row r="1529" customFormat="false" ht="14.25" hidden="true" customHeight="false" outlineLevel="0" collapsed="false">
      <c r="A1529" s="1" t="n">
        <v>1</v>
      </c>
      <c r="B1529" s="1" t="s">
        <v>82</v>
      </c>
      <c r="C1529" s="1" t="s">
        <v>485</v>
      </c>
      <c r="D1529" s="23" t="s">
        <v>248</v>
      </c>
      <c r="E1529" s="1" t="s">
        <v>247</v>
      </c>
      <c r="F1529" s="2" t="s">
        <v>120</v>
      </c>
      <c r="G1529" s="21" t="n">
        <f aca="false">K1529/3.1416</f>
        <v>4.7746371275783</v>
      </c>
      <c r="H1529" s="1" t="n">
        <v>0</v>
      </c>
      <c r="I1529" s="2" t="s">
        <v>74</v>
      </c>
      <c r="J1529" s="1" t="s">
        <v>130</v>
      </c>
      <c r="K1529" s="1" t="n">
        <v>15</v>
      </c>
    </row>
    <row r="1530" customFormat="false" ht="14.25" hidden="true" customHeight="false" outlineLevel="0" collapsed="false">
      <c r="A1530" s="1" t="n">
        <v>3</v>
      </c>
      <c r="B1530" s="1" t="s">
        <v>122</v>
      </c>
      <c r="C1530" s="1" t="s">
        <v>485</v>
      </c>
      <c r="D1530" s="23" t="s">
        <v>484</v>
      </c>
      <c r="E1530" s="1" t="s">
        <v>182</v>
      </c>
      <c r="F1530" s="2" t="s">
        <v>120</v>
      </c>
      <c r="G1530" s="21" t="n">
        <f aca="false">K1530/3.1416</f>
        <v>3.18309141838554</v>
      </c>
      <c r="H1530" s="1" t="n">
        <v>0</v>
      </c>
      <c r="I1530" s="2" t="s">
        <v>74</v>
      </c>
      <c r="J1530" s="1" t="s">
        <v>130</v>
      </c>
      <c r="K1530" s="1" t="n">
        <v>10</v>
      </c>
    </row>
    <row r="1531" customFormat="false" ht="14.25" hidden="true" customHeight="false" outlineLevel="0" collapsed="false">
      <c r="A1531" s="1" t="n">
        <v>3</v>
      </c>
      <c r="B1531" s="1" t="s">
        <v>122</v>
      </c>
      <c r="C1531" s="1" t="s">
        <v>485</v>
      </c>
      <c r="D1531" s="23" t="s">
        <v>486</v>
      </c>
      <c r="E1531" s="1" t="s">
        <v>182</v>
      </c>
      <c r="F1531" s="2" t="s">
        <v>138</v>
      </c>
      <c r="G1531" s="21" t="n">
        <f aca="false">K1531/3.1416</f>
        <v>8.27603768780239</v>
      </c>
      <c r="H1531" s="1" t="n">
        <v>0</v>
      </c>
      <c r="I1531" s="2" t="s">
        <v>74</v>
      </c>
      <c r="J1531" s="1" t="s">
        <v>130</v>
      </c>
      <c r="K1531" s="1" t="n">
        <v>26</v>
      </c>
    </row>
    <row r="1532" customFormat="false" ht="14.25" hidden="true" customHeight="false" outlineLevel="0" collapsed="false">
      <c r="A1532" s="1" t="n">
        <v>4</v>
      </c>
      <c r="B1532" s="1" t="s">
        <v>122</v>
      </c>
      <c r="C1532" s="1" t="s">
        <v>485</v>
      </c>
      <c r="D1532" s="23" t="s">
        <v>486</v>
      </c>
      <c r="E1532" s="1" t="s">
        <v>182</v>
      </c>
      <c r="F1532" s="2" t="s">
        <v>138</v>
      </c>
      <c r="G1532" s="21" t="n">
        <f aca="false">K1532/3.1416</f>
        <v>4.1380188439012</v>
      </c>
      <c r="H1532" s="1" t="n">
        <v>0</v>
      </c>
      <c r="I1532" s="2" t="s">
        <v>74</v>
      </c>
      <c r="J1532" s="1" t="s">
        <v>130</v>
      </c>
      <c r="K1532" s="1" t="n">
        <v>13</v>
      </c>
    </row>
    <row r="1533" customFormat="false" ht="14.25" hidden="true" customHeight="false" outlineLevel="0" collapsed="false">
      <c r="A1533" s="1" t="n">
        <v>4</v>
      </c>
      <c r="B1533" s="1" t="s">
        <v>122</v>
      </c>
      <c r="C1533" s="1" t="s">
        <v>485</v>
      </c>
      <c r="D1533" s="23" t="s">
        <v>484</v>
      </c>
      <c r="E1533" s="1" t="s">
        <v>182</v>
      </c>
      <c r="F1533" s="2" t="s">
        <v>120</v>
      </c>
      <c r="G1533" s="21" t="n">
        <f aca="false">K1533/3.1416</f>
        <v>47.746371275783</v>
      </c>
      <c r="H1533" s="1" t="n">
        <v>0</v>
      </c>
      <c r="I1533" s="2" t="s">
        <v>74</v>
      </c>
      <c r="J1533" s="1" t="s">
        <v>130</v>
      </c>
      <c r="K1533" s="1" t="n">
        <v>150</v>
      </c>
    </row>
    <row r="1534" customFormat="false" ht="14.25" hidden="true" customHeight="false" outlineLevel="0" collapsed="false">
      <c r="A1534" s="1" t="n">
        <v>5</v>
      </c>
      <c r="B1534" s="1" t="s">
        <v>122</v>
      </c>
      <c r="C1534" s="1" t="s">
        <v>485</v>
      </c>
      <c r="D1534" s="23" t="s">
        <v>487</v>
      </c>
      <c r="E1534" s="1" t="s">
        <v>182</v>
      </c>
      <c r="F1534" s="2" t="s">
        <v>138</v>
      </c>
      <c r="G1534" s="21" t="n">
        <f aca="false">K1534/3.1416</f>
        <v>4.45632798573975</v>
      </c>
      <c r="H1534" s="1" t="n">
        <v>0</v>
      </c>
      <c r="I1534" s="2" t="s">
        <v>74</v>
      </c>
      <c r="J1534" s="1" t="s">
        <v>130</v>
      </c>
      <c r="K1534" s="1" t="n">
        <v>14</v>
      </c>
    </row>
    <row r="1535" customFormat="false" ht="14.25" hidden="true" customHeight="false" outlineLevel="0" collapsed="false">
      <c r="A1535" s="1" t="n">
        <v>6</v>
      </c>
      <c r="B1535" s="1" t="s">
        <v>122</v>
      </c>
      <c r="C1535" s="1" t="s">
        <v>485</v>
      </c>
      <c r="D1535" s="23" t="s">
        <v>486</v>
      </c>
      <c r="E1535" s="1" t="s">
        <v>182</v>
      </c>
      <c r="F1535" s="2" t="s">
        <v>138</v>
      </c>
      <c r="G1535" s="21" t="n">
        <f aca="false">K1535/3.1416</f>
        <v>2.22816399286988</v>
      </c>
      <c r="H1535" s="1" t="n">
        <v>2.5</v>
      </c>
      <c r="I1535" s="2" t="s">
        <v>74</v>
      </c>
      <c r="J1535" s="1" t="s">
        <v>130</v>
      </c>
      <c r="K1535" s="1" t="n">
        <v>7</v>
      </c>
    </row>
    <row r="1536" customFormat="false" ht="14.25" hidden="true" customHeight="false" outlineLevel="0" collapsed="false">
      <c r="A1536" s="1" t="n">
        <v>6</v>
      </c>
      <c r="B1536" s="1" t="s">
        <v>122</v>
      </c>
      <c r="C1536" s="1" t="s">
        <v>485</v>
      </c>
      <c r="D1536" s="23" t="s">
        <v>486</v>
      </c>
      <c r="E1536" s="1" t="s">
        <v>182</v>
      </c>
      <c r="F1536" s="2" t="s">
        <v>138</v>
      </c>
      <c r="G1536" s="21" t="n">
        <f aca="false">K1536/3.1416</f>
        <v>52.2026992615228</v>
      </c>
      <c r="H1536" s="1" t="n">
        <v>20</v>
      </c>
      <c r="I1536" s="2" t="s">
        <v>74</v>
      </c>
      <c r="J1536" s="1" t="s">
        <v>130</v>
      </c>
      <c r="K1536" s="1" t="n">
        <v>164</v>
      </c>
    </row>
    <row r="1537" customFormat="false" ht="14.25" hidden="true" customHeight="false" outlineLevel="0" collapsed="false">
      <c r="A1537" s="1" t="n">
        <v>7</v>
      </c>
      <c r="B1537" s="1" t="s">
        <v>122</v>
      </c>
      <c r="C1537" s="1" t="s">
        <v>485</v>
      </c>
      <c r="D1537" s="23" t="s">
        <v>484</v>
      </c>
      <c r="E1537" s="1" t="s">
        <v>182</v>
      </c>
      <c r="F1537" s="2" t="s">
        <v>120</v>
      </c>
      <c r="G1537" s="21" t="n">
        <f aca="false">K1537/3.1416</f>
        <v>52.5210084033613</v>
      </c>
      <c r="H1537" s="1" t="n">
        <v>20</v>
      </c>
      <c r="I1537" s="2" t="s">
        <v>74</v>
      </c>
      <c r="J1537" s="1" t="s">
        <v>130</v>
      </c>
      <c r="K1537" s="1" t="n">
        <v>165</v>
      </c>
    </row>
    <row r="1538" customFormat="false" ht="14.25" hidden="true" customHeight="false" outlineLevel="0" collapsed="false">
      <c r="A1538" s="1" t="n">
        <v>9</v>
      </c>
      <c r="B1538" s="1" t="s">
        <v>122</v>
      </c>
      <c r="C1538" s="1" t="s">
        <v>485</v>
      </c>
      <c r="D1538" s="23" t="s">
        <v>484</v>
      </c>
      <c r="E1538" s="1" t="s">
        <v>182</v>
      </c>
      <c r="F1538" s="2" t="s">
        <v>120</v>
      </c>
      <c r="G1538" s="21" t="n">
        <f aca="false">K1538/3.1416</f>
        <v>7.95772854596384</v>
      </c>
      <c r="H1538" s="1" t="n">
        <v>10</v>
      </c>
      <c r="I1538" s="2" t="s">
        <v>129</v>
      </c>
      <c r="J1538" s="1" t="s">
        <v>130</v>
      </c>
      <c r="K1538" s="1" t="n">
        <v>25</v>
      </c>
    </row>
    <row r="1539" customFormat="false" ht="14.25" hidden="true" customHeight="false" outlineLevel="0" collapsed="false">
      <c r="A1539" s="1" t="n">
        <v>21</v>
      </c>
      <c r="B1539" s="1" t="s">
        <v>135</v>
      </c>
      <c r="C1539" s="1" t="s">
        <v>485</v>
      </c>
      <c r="D1539" s="23" t="s">
        <v>484</v>
      </c>
      <c r="E1539" s="1" t="s">
        <v>182</v>
      </c>
      <c r="F1539" s="1" t="s">
        <v>120</v>
      </c>
      <c r="G1539" s="21" t="n">
        <f aca="false">K1539/3.1416</f>
        <v>5.41125541125541</v>
      </c>
      <c r="H1539" s="1" t="n">
        <v>6</v>
      </c>
      <c r="I1539" s="1" t="s">
        <v>129</v>
      </c>
      <c r="J1539" s="1" t="s">
        <v>130</v>
      </c>
      <c r="K1539" s="1" t="n">
        <v>17</v>
      </c>
    </row>
    <row r="1540" customFormat="false" ht="14.25" hidden="true" customHeight="false" outlineLevel="0" collapsed="false">
      <c r="A1540" s="1" t="n">
        <v>21</v>
      </c>
      <c r="B1540" s="1" t="s">
        <v>135</v>
      </c>
      <c r="C1540" s="1" t="s">
        <v>485</v>
      </c>
      <c r="D1540" s="23" t="s">
        <v>484</v>
      </c>
      <c r="E1540" s="1" t="s">
        <v>182</v>
      </c>
      <c r="F1540" s="1" t="s">
        <v>120</v>
      </c>
      <c r="G1540" s="21" t="n">
        <f aca="false">K1540/3.1416</f>
        <v>28.6478227654698</v>
      </c>
      <c r="H1540" s="1" t="n">
        <v>20</v>
      </c>
      <c r="I1540" s="1" t="s">
        <v>129</v>
      </c>
      <c r="J1540" s="1" t="s">
        <v>130</v>
      </c>
      <c r="K1540" s="1" t="n">
        <v>90</v>
      </c>
    </row>
    <row r="1541" customFormat="false" ht="14.25" hidden="true" customHeight="false" outlineLevel="0" collapsed="false">
      <c r="A1541" s="1" t="n">
        <v>23</v>
      </c>
      <c r="B1541" s="1" t="s">
        <v>135</v>
      </c>
      <c r="C1541" s="1" t="s">
        <v>485</v>
      </c>
      <c r="D1541" s="23" t="s">
        <v>488</v>
      </c>
      <c r="E1541" s="1" t="s">
        <v>182</v>
      </c>
      <c r="F1541" s="1" t="s">
        <v>138</v>
      </c>
      <c r="G1541" s="21" t="n">
        <f aca="false">K1541/3.1416</f>
        <v>2.54647313470843</v>
      </c>
      <c r="H1541" s="1" t="n">
        <v>2</v>
      </c>
      <c r="I1541" s="1" t="s">
        <v>127</v>
      </c>
      <c r="J1541" s="1" t="s">
        <v>130</v>
      </c>
      <c r="K1541" s="1" t="n">
        <v>8</v>
      </c>
    </row>
    <row r="1542" customFormat="false" ht="14.25" hidden="true" customHeight="false" outlineLevel="0" collapsed="false">
      <c r="A1542" s="1" t="n">
        <v>23</v>
      </c>
      <c r="B1542" s="1" t="s">
        <v>135</v>
      </c>
      <c r="C1542" s="1" t="s">
        <v>485</v>
      </c>
      <c r="D1542" s="23" t="s">
        <v>484</v>
      </c>
      <c r="E1542" s="1" t="s">
        <v>182</v>
      </c>
      <c r="F1542" s="1" t="s">
        <v>120</v>
      </c>
      <c r="G1542" s="21" t="n">
        <f aca="false">K1542/3.1416</f>
        <v>2.54647313470843</v>
      </c>
      <c r="H1542" s="1" t="n">
        <v>4</v>
      </c>
      <c r="I1542" s="1" t="s">
        <v>129</v>
      </c>
      <c r="J1542" s="1" t="s">
        <v>130</v>
      </c>
      <c r="K1542" s="1" t="n">
        <v>8</v>
      </c>
    </row>
    <row r="1543" customFormat="false" ht="14.25" hidden="true" customHeight="false" outlineLevel="0" collapsed="false">
      <c r="A1543" s="1" t="n">
        <v>23</v>
      </c>
      <c r="B1543" s="1" t="s">
        <v>135</v>
      </c>
      <c r="C1543" s="1" t="s">
        <v>485</v>
      </c>
      <c r="D1543" s="23" t="s">
        <v>484</v>
      </c>
      <c r="E1543" s="1" t="s">
        <v>182</v>
      </c>
      <c r="F1543" s="1" t="s">
        <v>120</v>
      </c>
      <c r="G1543" s="21" t="n">
        <f aca="false">K1543/3.1416</f>
        <v>35.0140056022409</v>
      </c>
      <c r="H1543" s="1" t="n">
        <v>15</v>
      </c>
      <c r="I1543" s="1" t="s">
        <v>129</v>
      </c>
      <c r="J1543" s="1" t="s">
        <v>130</v>
      </c>
      <c r="K1543" s="1" t="n">
        <v>110</v>
      </c>
    </row>
    <row r="1544" customFormat="false" ht="14.25" hidden="true" customHeight="false" outlineLevel="0" collapsed="false">
      <c r="A1544" s="1" t="n">
        <v>23</v>
      </c>
      <c r="B1544" s="1" t="s">
        <v>135</v>
      </c>
      <c r="C1544" s="1" t="s">
        <v>485</v>
      </c>
      <c r="D1544" s="23" t="s">
        <v>484</v>
      </c>
      <c r="E1544" s="1" t="s">
        <v>182</v>
      </c>
      <c r="F1544" s="1" t="s">
        <v>120</v>
      </c>
      <c r="G1544" s="21" t="n">
        <f aca="false">K1544/3.1416</f>
        <v>2.54647313470843</v>
      </c>
      <c r="H1544" s="1" t="n">
        <v>5</v>
      </c>
      <c r="I1544" s="1" t="s">
        <v>129</v>
      </c>
      <c r="J1544" s="1" t="s">
        <v>130</v>
      </c>
      <c r="K1544" s="1" t="n">
        <v>8</v>
      </c>
    </row>
    <row r="1545" customFormat="false" ht="14.25" hidden="true" customHeight="false" outlineLevel="0" collapsed="false">
      <c r="A1545" s="1" t="n">
        <v>23</v>
      </c>
      <c r="B1545" s="1" t="s">
        <v>135</v>
      </c>
      <c r="C1545" s="1" t="s">
        <v>485</v>
      </c>
      <c r="D1545" s="23" t="s">
        <v>486</v>
      </c>
      <c r="E1545" s="1" t="s">
        <v>182</v>
      </c>
      <c r="F1545" s="1" t="s">
        <v>138</v>
      </c>
      <c r="G1545" s="21" t="n">
        <f aca="false">K1545/3.1416</f>
        <v>2.54647313470843</v>
      </c>
      <c r="H1545" s="1" t="n">
        <v>6</v>
      </c>
      <c r="I1545" s="1" t="s">
        <v>127</v>
      </c>
      <c r="J1545" s="1" t="s">
        <v>130</v>
      </c>
      <c r="K1545" s="1" t="n">
        <v>8</v>
      </c>
    </row>
    <row r="1546" customFormat="false" ht="14.25" hidden="true" customHeight="false" outlineLevel="0" collapsed="false">
      <c r="A1546" s="1" t="n">
        <v>23</v>
      </c>
      <c r="B1546" s="1" t="s">
        <v>135</v>
      </c>
      <c r="C1546" s="1" t="s">
        <v>485</v>
      </c>
      <c r="D1546" s="23" t="s">
        <v>484</v>
      </c>
      <c r="E1546" s="1" t="s">
        <v>182</v>
      </c>
      <c r="F1546" s="1" t="s">
        <v>120</v>
      </c>
      <c r="G1546" s="21" t="n">
        <f aca="false">K1546/3.1416</f>
        <v>2.86478227654698</v>
      </c>
      <c r="H1546" s="1" t="n">
        <v>6</v>
      </c>
      <c r="I1546" s="1" t="s">
        <v>127</v>
      </c>
      <c r="J1546" s="1" t="s">
        <v>130</v>
      </c>
      <c r="K1546" s="1" t="n">
        <v>9</v>
      </c>
    </row>
    <row r="1547" customFormat="false" ht="14.25" hidden="true" customHeight="false" outlineLevel="0" collapsed="false">
      <c r="A1547" s="1" t="n">
        <v>23</v>
      </c>
      <c r="B1547" s="1" t="s">
        <v>135</v>
      </c>
      <c r="C1547" s="1" t="s">
        <v>485</v>
      </c>
      <c r="D1547" s="23" t="s">
        <v>484</v>
      </c>
      <c r="E1547" s="1" t="s">
        <v>182</v>
      </c>
      <c r="F1547" s="1" t="s">
        <v>120</v>
      </c>
      <c r="G1547" s="21" t="n">
        <f aca="false">K1547/3.1416</f>
        <v>2.86478227654698</v>
      </c>
      <c r="H1547" s="1" t="n">
        <v>5</v>
      </c>
      <c r="I1547" s="1" t="s">
        <v>129</v>
      </c>
      <c r="J1547" s="1" t="s">
        <v>130</v>
      </c>
      <c r="K1547" s="1" t="n">
        <v>9</v>
      </c>
    </row>
    <row r="1548" customFormat="false" ht="14.25" hidden="true" customHeight="false" outlineLevel="0" collapsed="false">
      <c r="A1548" s="1" t="n">
        <v>23</v>
      </c>
      <c r="B1548" s="1" t="s">
        <v>135</v>
      </c>
      <c r="C1548" s="1" t="s">
        <v>485</v>
      </c>
      <c r="D1548" s="23" t="s">
        <v>484</v>
      </c>
      <c r="E1548" s="1" t="s">
        <v>182</v>
      </c>
      <c r="F1548" s="1" t="s">
        <v>120</v>
      </c>
      <c r="G1548" s="21" t="n">
        <f aca="false">K1548/3.1416</f>
        <v>2.54647313470843</v>
      </c>
      <c r="H1548" s="1" t="n">
        <v>3</v>
      </c>
      <c r="I1548" s="1" t="s">
        <v>129</v>
      </c>
      <c r="J1548" s="1" t="s">
        <v>130</v>
      </c>
      <c r="K1548" s="1" t="n">
        <v>8</v>
      </c>
    </row>
    <row r="1549" customFormat="false" ht="14.25" hidden="true" customHeight="false" outlineLevel="0" collapsed="false">
      <c r="A1549" s="1" t="n">
        <v>23</v>
      </c>
      <c r="B1549" s="1" t="s">
        <v>135</v>
      </c>
      <c r="C1549" s="1" t="s">
        <v>485</v>
      </c>
      <c r="D1549" s="23" t="s">
        <v>484</v>
      </c>
      <c r="E1549" s="1" t="s">
        <v>182</v>
      </c>
      <c r="F1549" s="1" t="s">
        <v>120</v>
      </c>
      <c r="G1549" s="21" t="n">
        <f aca="false">K1549/3.1416</f>
        <v>7.00280112044818</v>
      </c>
      <c r="H1549" s="1" t="n">
        <v>8</v>
      </c>
      <c r="I1549" s="1" t="s">
        <v>129</v>
      </c>
      <c r="J1549" s="1" t="s">
        <v>130</v>
      </c>
      <c r="K1549" s="1" t="n">
        <v>22</v>
      </c>
    </row>
    <row r="1550" customFormat="false" ht="14.25" hidden="true" customHeight="false" outlineLevel="0" collapsed="false">
      <c r="A1550" s="1" t="n">
        <v>23</v>
      </c>
      <c r="B1550" s="1" t="s">
        <v>135</v>
      </c>
      <c r="C1550" s="1" t="s">
        <v>485</v>
      </c>
      <c r="D1550" s="23" t="s">
        <v>484</v>
      </c>
      <c r="E1550" s="1" t="s">
        <v>182</v>
      </c>
      <c r="F1550" s="1" t="s">
        <v>120</v>
      </c>
      <c r="G1550" s="21" t="n">
        <f aca="false">K1550/3.1416</f>
        <v>5.09294626941686</v>
      </c>
      <c r="H1550" s="1" t="n">
        <v>6</v>
      </c>
      <c r="I1550" s="1" t="s">
        <v>129</v>
      </c>
      <c r="J1550" s="1" t="s">
        <v>130</v>
      </c>
      <c r="K1550" s="1" t="n">
        <v>16</v>
      </c>
    </row>
    <row r="1551" customFormat="false" ht="14.25" hidden="true" customHeight="false" outlineLevel="0" collapsed="false">
      <c r="A1551" s="1" t="n">
        <v>23</v>
      </c>
      <c r="B1551" s="1" t="s">
        <v>135</v>
      </c>
      <c r="C1551" s="1" t="s">
        <v>485</v>
      </c>
      <c r="D1551" s="23" t="s">
        <v>484</v>
      </c>
      <c r="E1551" s="1" t="s">
        <v>182</v>
      </c>
      <c r="F1551" s="1" t="s">
        <v>120</v>
      </c>
      <c r="G1551" s="21" t="n">
        <f aca="false">K1551/3.1416</f>
        <v>25.7830404889228</v>
      </c>
      <c r="H1551" s="1" t="n">
        <v>15</v>
      </c>
      <c r="I1551" s="1" t="s">
        <v>129</v>
      </c>
      <c r="J1551" s="1" t="s">
        <v>130</v>
      </c>
      <c r="K1551" s="1" t="n">
        <v>81</v>
      </c>
    </row>
    <row r="1552" customFormat="false" ht="14.25" hidden="true" customHeight="false" outlineLevel="0" collapsed="false">
      <c r="A1552" s="1" t="n">
        <v>26</v>
      </c>
      <c r="B1552" s="1" t="s">
        <v>135</v>
      </c>
      <c r="C1552" s="1" t="s">
        <v>485</v>
      </c>
      <c r="D1552" s="23" t="s">
        <v>484</v>
      </c>
      <c r="E1552" s="1" t="s">
        <v>182</v>
      </c>
      <c r="F1552" s="1" t="s">
        <v>120</v>
      </c>
      <c r="G1552" s="21" t="n">
        <f aca="false">K1552/3.1416</f>
        <v>4.7746371275783</v>
      </c>
      <c r="H1552" s="1" t="n">
        <v>7</v>
      </c>
      <c r="I1552" s="1" t="s">
        <v>129</v>
      </c>
      <c r="J1552" s="1" t="s">
        <v>130</v>
      </c>
      <c r="K1552" s="1" t="n">
        <v>15</v>
      </c>
    </row>
    <row r="1553" customFormat="false" ht="14.25" hidden="true" customHeight="false" outlineLevel="0" collapsed="false">
      <c r="A1553" s="1" t="n">
        <v>26</v>
      </c>
      <c r="B1553" s="1" t="s">
        <v>135</v>
      </c>
      <c r="C1553" s="1" t="s">
        <v>485</v>
      </c>
      <c r="D1553" s="23" t="s">
        <v>488</v>
      </c>
      <c r="E1553" s="1" t="s">
        <v>182</v>
      </c>
      <c r="F1553" s="1" t="s">
        <v>138</v>
      </c>
      <c r="G1553" s="21" t="n">
        <f aca="false">K1553/3.1416</f>
        <v>2.54647313470843</v>
      </c>
      <c r="H1553" s="1" t="n">
        <v>4</v>
      </c>
      <c r="I1553" s="1" t="s">
        <v>127</v>
      </c>
      <c r="J1553" s="1" t="s">
        <v>130</v>
      </c>
      <c r="K1553" s="1" t="n">
        <v>8</v>
      </c>
    </row>
    <row r="1554" customFormat="false" ht="14.25" hidden="true" customHeight="false" outlineLevel="0" collapsed="false">
      <c r="A1554" s="1" t="n">
        <v>27</v>
      </c>
      <c r="B1554" s="1" t="s">
        <v>82</v>
      </c>
      <c r="C1554" s="1" t="s">
        <v>485</v>
      </c>
      <c r="D1554" s="23" t="s">
        <v>486</v>
      </c>
      <c r="E1554" s="1" t="s">
        <v>182</v>
      </c>
      <c r="F1554" s="1" t="s">
        <v>138</v>
      </c>
      <c r="G1554" s="21" t="n">
        <f aca="false">K1554/3.1416</f>
        <v>4.45632798573975</v>
      </c>
      <c r="H1554" s="1" t="n">
        <v>9</v>
      </c>
      <c r="I1554" s="1" t="s">
        <v>129</v>
      </c>
      <c r="J1554" s="1" t="s">
        <v>130</v>
      </c>
      <c r="K1554" s="1" t="n">
        <v>14</v>
      </c>
    </row>
    <row r="1555" customFormat="false" ht="14.25" hidden="true" customHeight="false" outlineLevel="0" collapsed="false">
      <c r="A1555" s="1" t="n">
        <v>27</v>
      </c>
      <c r="B1555" s="1" t="s">
        <v>82</v>
      </c>
      <c r="C1555" s="1" t="s">
        <v>485</v>
      </c>
      <c r="D1555" s="23" t="s">
        <v>486</v>
      </c>
      <c r="E1555" s="1" t="s">
        <v>182</v>
      </c>
      <c r="F1555" s="1" t="s">
        <v>138</v>
      </c>
      <c r="G1555" s="21" t="n">
        <f aca="false">K1555/3.1416</f>
        <v>2.54647313470843</v>
      </c>
      <c r="H1555" s="1" t="n">
        <v>6</v>
      </c>
      <c r="I1555" s="1" t="s">
        <v>129</v>
      </c>
      <c r="J1555" s="1" t="s">
        <v>130</v>
      </c>
      <c r="K1555" s="1" t="n">
        <v>8</v>
      </c>
    </row>
    <row r="1556" customFormat="false" ht="14.25" hidden="true" customHeight="false" outlineLevel="0" collapsed="false">
      <c r="A1556" s="1" t="n">
        <v>28</v>
      </c>
      <c r="B1556" s="1" t="s">
        <v>82</v>
      </c>
      <c r="C1556" s="1" t="s">
        <v>485</v>
      </c>
      <c r="D1556" s="23" t="s">
        <v>484</v>
      </c>
      <c r="E1556" s="1" t="s">
        <v>182</v>
      </c>
      <c r="F1556" s="1" t="s">
        <v>120</v>
      </c>
      <c r="G1556" s="21" t="n">
        <f aca="false">K1556/3.1416</f>
        <v>2.86478227654698</v>
      </c>
      <c r="H1556" s="1" t="n">
        <v>6</v>
      </c>
      <c r="I1556" s="1" t="s">
        <v>234</v>
      </c>
      <c r="J1556" s="1" t="s">
        <v>130</v>
      </c>
      <c r="K1556" s="1" t="n">
        <v>9</v>
      </c>
    </row>
    <row r="1557" customFormat="false" ht="14.25" hidden="true" customHeight="false" outlineLevel="0" collapsed="false">
      <c r="A1557" s="1" t="n">
        <v>28</v>
      </c>
      <c r="B1557" s="1" t="s">
        <v>82</v>
      </c>
      <c r="C1557" s="1" t="s">
        <v>485</v>
      </c>
      <c r="D1557" s="23" t="s">
        <v>486</v>
      </c>
      <c r="E1557" s="1" t="s">
        <v>182</v>
      </c>
      <c r="F1557" s="1" t="s">
        <v>138</v>
      </c>
      <c r="G1557" s="21" t="n">
        <f aca="false">K1557/3.1416</f>
        <v>2.86478227654698</v>
      </c>
      <c r="H1557" s="1" t="n">
        <v>6</v>
      </c>
      <c r="I1557" s="1" t="s">
        <v>127</v>
      </c>
      <c r="J1557" s="1" t="s">
        <v>130</v>
      </c>
      <c r="K1557" s="1" t="n">
        <v>9</v>
      </c>
    </row>
    <row r="1558" customFormat="false" ht="14.25" hidden="true" customHeight="false" outlineLevel="0" collapsed="false">
      <c r="A1558" s="1" t="n">
        <v>28</v>
      </c>
      <c r="B1558" s="1" t="s">
        <v>82</v>
      </c>
      <c r="C1558" s="1" t="s">
        <v>485</v>
      </c>
      <c r="D1558" s="23" t="s">
        <v>484</v>
      </c>
      <c r="E1558" s="1" t="s">
        <v>182</v>
      </c>
      <c r="F1558" s="1" t="s">
        <v>120</v>
      </c>
      <c r="G1558" s="21" t="n">
        <f aca="false">K1558/3.1416</f>
        <v>2.54647313470843</v>
      </c>
      <c r="H1558" s="1" t="n">
        <v>5</v>
      </c>
      <c r="I1558" s="1" t="s">
        <v>127</v>
      </c>
      <c r="J1558" s="1" t="s">
        <v>130</v>
      </c>
      <c r="K1558" s="1" t="n">
        <v>8</v>
      </c>
    </row>
    <row r="1559" customFormat="false" ht="14.25" hidden="true" customHeight="false" outlineLevel="0" collapsed="false">
      <c r="A1559" s="1" t="n">
        <v>4</v>
      </c>
      <c r="B1559" s="1" t="s">
        <v>82</v>
      </c>
      <c r="C1559" s="1" t="s">
        <v>485</v>
      </c>
      <c r="D1559" s="23" t="s">
        <v>484</v>
      </c>
      <c r="E1559" s="1" t="s">
        <v>182</v>
      </c>
      <c r="F1559" s="1" t="s">
        <v>120</v>
      </c>
      <c r="G1559" s="21" t="n">
        <f aca="false">ROUND(K1559/PI(),0)</f>
        <v>6</v>
      </c>
      <c r="H1559" s="1" t="n">
        <v>12</v>
      </c>
      <c r="I1559" s="1" t="s">
        <v>127</v>
      </c>
      <c r="J1559" s="1" t="s">
        <v>489</v>
      </c>
      <c r="K1559" s="1" t="n">
        <v>20</v>
      </c>
    </row>
    <row r="1560" customFormat="false" ht="14.25" hidden="true" customHeight="false" outlineLevel="0" collapsed="false">
      <c r="A1560" s="1" t="n">
        <v>4</v>
      </c>
      <c r="B1560" s="1" t="s">
        <v>82</v>
      </c>
      <c r="C1560" s="1" t="s">
        <v>485</v>
      </c>
      <c r="D1560" s="23" t="s">
        <v>154</v>
      </c>
      <c r="E1560" s="1" t="s">
        <v>155</v>
      </c>
      <c r="F1560" s="1" t="s">
        <v>120</v>
      </c>
      <c r="G1560" s="21" t="n">
        <f aca="false">ROUND(K1560/PI(),0)</f>
        <v>5</v>
      </c>
      <c r="H1560" s="1" t="n">
        <v>7</v>
      </c>
      <c r="I1560" s="1" t="s">
        <v>129</v>
      </c>
      <c r="J1560" s="1" t="s">
        <v>141</v>
      </c>
      <c r="K1560" s="1" t="n">
        <v>16</v>
      </c>
    </row>
    <row r="1561" customFormat="false" ht="14.25" hidden="true" customHeight="false" outlineLevel="0" collapsed="false">
      <c r="A1561" s="1" t="n">
        <v>3</v>
      </c>
      <c r="B1561" s="1" t="s">
        <v>122</v>
      </c>
      <c r="C1561" s="1" t="s">
        <v>490</v>
      </c>
      <c r="D1561" s="23" t="s">
        <v>217</v>
      </c>
      <c r="E1561" s="1" t="s">
        <v>160</v>
      </c>
      <c r="F1561" s="2" t="s">
        <v>197</v>
      </c>
      <c r="G1561" s="21" t="n">
        <f aca="false">K1561/3.1416</f>
        <v>9.86758339699516</v>
      </c>
      <c r="H1561" s="1" t="n">
        <v>0</v>
      </c>
      <c r="I1561" s="2" t="s">
        <v>74</v>
      </c>
      <c r="J1561" s="1" t="s">
        <v>149</v>
      </c>
      <c r="K1561" s="1" t="n">
        <v>31</v>
      </c>
    </row>
    <row r="1562" customFormat="false" ht="14.25" hidden="true" customHeight="false" outlineLevel="0" collapsed="false">
      <c r="A1562" s="1" t="n">
        <v>3</v>
      </c>
      <c r="B1562" s="1" t="s">
        <v>122</v>
      </c>
      <c r="C1562" s="1" t="s">
        <v>490</v>
      </c>
      <c r="D1562" s="23" t="s">
        <v>217</v>
      </c>
      <c r="E1562" s="1" t="s">
        <v>160</v>
      </c>
      <c r="F1562" s="2" t="s">
        <v>197</v>
      </c>
      <c r="G1562" s="21" t="n">
        <f aca="false">(K1562/3.1416) + (18/3.1416) + (18/3.1416)</f>
        <v>17.1886936592819</v>
      </c>
      <c r="H1562" s="1" t="n">
        <v>0</v>
      </c>
      <c r="I1562" s="2" t="s">
        <v>74</v>
      </c>
      <c r="J1562" s="1" t="s">
        <v>149</v>
      </c>
      <c r="K1562" s="1" t="n">
        <v>18</v>
      </c>
    </row>
    <row r="1563" customFormat="false" ht="14.25" hidden="true" customHeight="false" outlineLevel="0" collapsed="false">
      <c r="A1563" s="1" t="n">
        <v>9</v>
      </c>
      <c r="B1563" s="1" t="s">
        <v>122</v>
      </c>
      <c r="C1563" s="1" t="s">
        <v>490</v>
      </c>
      <c r="D1563" s="23" t="s">
        <v>217</v>
      </c>
      <c r="E1563" s="1" t="s">
        <v>160</v>
      </c>
      <c r="F1563" s="2" t="s">
        <v>197</v>
      </c>
      <c r="G1563" s="21" t="n">
        <f aca="false">K1563/3.1416</f>
        <v>3.81970970206264</v>
      </c>
      <c r="H1563" s="1" t="n">
        <v>6</v>
      </c>
      <c r="I1563" s="2" t="s">
        <v>129</v>
      </c>
      <c r="J1563" s="1" t="s">
        <v>149</v>
      </c>
      <c r="K1563" s="1" t="n">
        <v>12</v>
      </c>
    </row>
    <row r="1564" customFormat="false" ht="14.25" hidden="true" customHeight="false" outlineLevel="0" collapsed="false">
      <c r="A1564" s="1" t="n">
        <v>9</v>
      </c>
      <c r="B1564" s="1" t="s">
        <v>122</v>
      </c>
      <c r="C1564" s="1" t="s">
        <v>490</v>
      </c>
      <c r="D1564" s="23" t="s">
        <v>217</v>
      </c>
      <c r="E1564" s="1" t="s">
        <v>160</v>
      </c>
      <c r="F1564" s="2" t="s">
        <v>197</v>
      </c>
      <c r="G1564" s="21" t="n">
        <f aca="false">K1564/3.1416</f>
        <v>7.63941940412529</v>
      </c>
      <c r="H1564" s="1" t="n">
        <v>10</v>
      </c>
      <c r="I1564" s="2" t="s">
        <v>129</v>
      </c>
      <c r="J1564" s="1" t="s">
        <v>149</v>
      </c>
      <c r="K1564" s="1" t="n">
        <v>24</v>
      </c>
    </row>
    <row r="1565" customFormat="false" ht="14.25" hidden="true" customHeight="false" outlineLevel="0" collapsed="false">
      <c r="A1565" s="1" t="n">
        <v>22</v>
      </c>
      <c r="B1565" s="1" t="s">
        <v>135</v>
      </c>
      <c r="C1565" s="1" t="s">
        <v>490</v>
      </c>
      <c r="D1565" s="23" t="s">
        <v>217</v>
      </c>
      <c r="E1565" s="1" t="s">
        <v>160</v>
      </c>
      <c r="F1565" s="1" t="s">
        <v>197</v>
      </c>
      <c r="G1565" s="21" t="n">
        <f aca="false">K1565/3.1416</f>
        <v>2.86478227654698</v>
      </c>
      <c r="H1565" s="1" t="n">
        <v>4</v>
      </c>
      <c r="I1565" s="1" t="s">
        <v>129</v>
      </c>
      <c r="J1565" s="1" t="s">
        <v>149</v>
      </c>
      <c r="K1565" s="1" t="n">
        <v>9</v>
      </c>
    </row>
    <row r="1566" customFormat="false" ht="14.25" hidden="true" customHeight="false" outlineLevel="0" collapsed="false">
      <c r="A1566" s="1" t="n">
        <v>26</v>
      </c>
      <c r="B1566" s="1" t="s">
        <v>135</v>
      </c>
      <c r="C1566" s="1" t="s">
        <v>490</v>
      </c>
      <c r="D1566" s="23" t="s">
        <v>461</v>
      </c>
      <c r="E1566" s="1" t="s">
        <v>462</v>
      </c>
      <c r="F1566" s="1" t="s">
        <v>120</v>
      </c>
      <c r="G1566" s="21" t="n">
        <f aca="false">K1566/3.1416</f>
        <v>5.41125541125541</v>
      </c>
      <c r="H1566" s="1" t="n">
        <v>7</v>
      </c>
      <c r="I1566" s="1" t="s">
        <v>129</v>
      </c>
      <c r="J1566" s="1" t="s">
        <v>149</v>
      </c>
      <c r="K1566" s="1" t="n">
        <v>17</v>
      </c>
    </row>
    <row r="1567" customFormat="false" ht="14.25" hidden="true" customHeight="false" outlineLevel="0" collapsed="false">
      <c r="A1567" s="1" t="n">
        <v>28</v>
      </c>
      <c r="B1567" s="1" t="s">
        <v>82</v>
      </c>
      <c r="C1567" s="1" t="s">
        <v>490</v>
      </c>
      <c r="D1567" s="23"/>
      <c r="G1567" s="21" t="n">
        <f aca="false">K1567/3.1416</f>
        <v>2.54647313470843</v>
      </c>
      <c r="H1567" s="1" t="n">
        <v>4</v>
      </c>
      <c r="I1567" s="1" t="s">
        <v>129</v>
      </c>
      <c r="J1567" s="1" t="s">
        <v>149</v>
      </c>
      <c r="K1567" s="1" t="n">
        <v>8</v>
      </c>
    </row>
    <row r="1568" customFormat="false" ht="14.25" hidden="true" customHeight="false" outlineLevel="0" collapsed="false">
      <c r="A1568" s="1" t="n">
        <v>29</v>
      </c>
      <c r="B1568" s="1" t="s">
        <v>131</v>
      </c>
      <c r="C1568" s="1" t="s">
        <v>490</v>
      </c>
      <c r="D1568" s="23"/>
      <c r="E1568" s="1" t="s">
        <v>210</v>
      </c>
      <c r="F1568" s="1" t="s">
        <v>120</v>
      </c>
      <c r="G1568" s="21" t="n">
        <f aca="false">K1568/3.1416</f>
        <v>2.86478227654698</v>
      </c>
      <c r="H1568" s="1" t="n">
        <v>5</v>
      </c>
      <c r="I1568" s="1" t="s">
        <v>127</v>
      </c>
      <c r="J1568" s="1" t="s">
        <v>149</v>
      </c>
      <c r="K1568" s="1" t="n">
        <v>9</v>
      </c>
    </row>
    <row r="1569" customFormat="false" ht="14.25" hidden="true" customHeight="false" outlineLevel="0" collapsed="false">
      <c r="A1569" s="1" t="n">
        <v>5</v>
      </c>
      <c r="B1569" s="1" t="s">
        <v>92</v>
      </c>
      <c r="C1569" s="1" t="s">
        <v>490</v>
      </c>
      <c r="D1569" s="23" t="s">
        <v>232</v>
      </c>
      <c r="E1569" s="1" t="s">
        <v>233</v>
      </c>
      <c r="F1569" s="1" t="s">
        <v>138</v>
      </c>
      <c r="G1569" s="21" t="n">
        <f aca="false">ROUND(K1569/PI(),0)</f>
        <v>3</v>
      </c>
      <c r="H1569" s="1" t="n">
        <v>6</v>
      </c>
      <c r="I1569" s="1" t="s">
        <v>129</v>
      </c>
      <c r="J1569" s="1" t="s">
        <v>255</v>
      </c>
      <c r="K1569" s="1" t="n">
        <v>8.5</v>
      </c>
    </row>
    <row r="1570" customFormat="false" ht="14.25" hidden="true" customHeight="false" outlineLevel="0" collapsed="false">
      <c r="A1570" s="1" t="n">
        <v>5</v>
      </c>
      <c r="B1570" s="1" t="s">
        <v>92</v>
      </c>
      <c r="C1570" s="1" t="s">
        <v>490</v>
      </c>
      <c r="D1570" s="23" t="s">
        <v>235</v>
      </c>
      <c r="E1570" s="1" t="s">
        <v>156</v>
      </c>
      <c r="F1570" s="1" t="s">
        <v>138</v>
      </c>
      <c r="G1570" s="21" t="n">
        <f aca="false">ROUND(K1570/PI(),0)</f>
        <v>4</v>
      </c>
      <c r="H1570" s="1" t="n">
        <v>6</v>
      </c>
      <c r="I1570" s="1" t="s">
        <v>129</v>
      </c>
      <c r="J1570" s="1" t="s">
        <v>255</v>
      </c>
      <c r="K1570" s="1" t="n">
        <v>13</v>
      </c>
    </row>
    <row r="1571" customFormat="false" ht="14.25" hidden="true" customHeight="false" outlineLevel="0" collapsed="false">
      <c r="A1571" s="1" t="n">
        <v>6</v>
      </c>
      <c r="B1571" s="1" t="s">
        <v>92</v>
      </c>
      <c r="C1571" s="1" t="s">
        <v>490</v>
      </c>
      <c r="D1571" s="23"/>
      <c r="G1571" s="21" t="n">
        <f aca="false">ROUND(K1571/PI(),0)</f>
        <v>6</v>
      </c>
      <c r="H1571" s="1" t="n">
        <v>5</v>
      </c>
      <c r="I1571" s="1" t="s">
        <v>129</v>
      </c>
      <c r="J1571" s="1" t="s">
        <v>152</v>
      </c>
      <c r="K1571" s="1" t="n">
        <v>19</v>
      </c>
    </row>
    <row r="1572" customFormat="false" ht="14.25" hidden="true" customHeight="false" outlineLevel="0" collapsed="false">
      <c r="A1572" s="1" t="n">
        <v>6</v>
      </c>
      <c r="B1572" s="1" t="s">
        <v>92</v>
      </c>
      <c r="C1572" s="1" t="s">
        <v>490</v>
      </c>
      <c r="D1572" s="23"/>
      <c r="G1572" s="21" t="n">
        <f aca="false">ROUND(K1572/PI(),0)</f>
        <v>4</v>
      </c>
      <c r="H1572" s="1" t="n">
        <v>6</v>
      </c>
      <c r="I1572" s="1" t="s">
        <v>129</v>
      </c>
      <c r="J1572" s="1" t="s">
        <v>152</v>
      </c>
      <c r="K1572" s="1" t="n">
        <v>12</v>
      </c>
    </row>
    <row r="1573" customFormat="false" ht="14.25" hidden="true" customHeight="false" outlineLevel="0" collapsed="false">
      <c r="A1573" s="1" t="n">
        <v>7</v>
      </c>
      <c r="B1573" s="1" t="s">
        <v>101</v>
      </c>
      <c r="C1573" s="1" t="s">
        <v>490</v>
      </c>
      <c r="D1573" s="23"/>
      <c r="G1573" s="21" t="n">
        <f aca="false">ROUND(K1573/PI(),0)</f>
        <v>6</v>
      </c>
      <c r="H1573" s="1" t="n">
        <v>7</v>
      </c>
      <c r="I1573" s="1" t="s">
        <v>129</v>
      </c>
      <c r="J1573" s="1" t="s">
        <v>149</v>
      </c>
      <c r="K1573" s="1" t="n">
        <v>18</v>
      </c>
    </row>
    <row r="1574" customFormat="false" ht="14.25" hidden="true" customHeight="false" outlineLevel="0" collapsed="false">
      <c r="A1574" s="1" t="n">
        <v>25</v>
      </c>
      <c r="B1574" s="1" t="s">
        <v>135</v>
      </c>
      <c r="C1574" s="1" t="s">
        <v>491</v>
      </c>
      <c r="D1574" s="23"/>
      <c r="G1574" s="21" t="n">
        <f aca="false">K1574/3.1416</f>
        <v>2.54647313470843</v>
      </c>
      <c r="H1574" s="1" t="n">
        <v>6</v>
      </c>
      <c r="I1574" s="1" t="s">
        <v>127</v>
      </c>
      <c r="J1574" s="1" t="s">
        <v>130</v>
      </c>
      <c r="K1574" s="1" t="n">
        <v>8</v>
      </c>
    </row>
    <row r="1575" customFormat="false" ht="14.25" hidden="true" customHeight="false" outlineLevel="0" collapsed="false">
      <c r="A1575" s="1" t="n">
        <v>25</v>
      </c>
      <c r="B1575" s="1" t="s">
        <v>135</v>
      </c>
      <c r="C1575" s="1" t="s">
        <v>491</v>
      </c>
      <c r="D1575" s="23" t="s">
        <v>168</v>
      </c>
      <c r="E1575" s="1" t="s">
        <v>169</v>
      </c>
      <c r="F1575" s="1" t="s">
        <v>138</v>
      </c>
      <c r="G1575" s="21" t="n">
        <f aca="false">K1575/3.1416</f>
        <v>4.45632798573975</v>
      </c>
      <c r="H1575" s="1" t="n">
        <v>6</v>
      </c>
      <c r="I1575" s="1" t="s">
        <v>127</v>
      </c>
      <c r="J1575" s="1" t="s">
        <v>130</v>
      </c>
      <c r="K1575" s="1" t="n">
        <v>14</v>
      </c>
    </row>
    <row r="1576" customFormat="false" ht="14.25" hidden="true" customHeight="false" outlineLevel="0" collapsed="false">
      <c r="A1576" s="1" t="n">
        <v>7</v>
      </c>
      <c r="B1576" s="1" t="s">
        <v>122</v>
      </c>
      <c r="C1576" s="1" t="s">
        <v>492</v>
      </c>
      <c r="D1576" s="23" t="s">
        <v>272</v>
      </c>
      <c r="E1576" s="1" t="s">
        <v>156</v>
      </c>
      <c r="F1576" s="2" t="s">
        <v>120</v>
      </c>
      <c r="G1576" s="21" t="n">
        <f aca="false">K1576/3.1416</f>
        <v>3.81970970206264</v>
      </c>
      <c r="H1576" s="1" t="n">
        <v>3</v>
      </c>
      <c r="I1576" s="2" t="s">
        <v>74</v>
      </c>
      <c r="J1576" s="1" t="s">
        <v>74</v>
      </c>
      <c r="K1576" s="1" t="n">
        <v>12</v>
      </c>
    </row>
    <row r="1577" customFormat="false" ht="14.25" hidden="true" customHeight="false" outlineLevel="0" collapsed="false">
      <c r="A1577" s="1" t="n">
        <v>8</v>
      </c>
      <c r="B1577" s="1" t="s">
        <v>122</v>
      </c>
      <c r="C1577" s="1" t="s">
        <v>492</v>
      </c>
      <c r="D1577" s="23"/>
      <c r="G1577" s="21" t="n">
        <f aca="false">K1577/3.1416</f>
        <v>3.50140056022409</v>
      </c>
      <c r="H1577" s="1" t="n">
        <v>4</v>
      </c>
      <c r="I1577" s="2" t="s">
        <v>127</v>
      </c>
      <c r="J1577" s="1" t="s">
        <v>130</v>
      </c>
      <c r="K1577" s="1" t="n">
        <v>11</v>
      </c>
    </row>
    <row r="1578" customFormat="false" ht="14.25" hidden="true" customHeight="false" outlineLevel="0" collapsed="false">
      <c r="A1578" s="1" t="n">
        <v>11</v>
      </c>
      <c r="B1578" s="1" t="s">
        <v>82</v>
      </c>
      <c r="C1578" s="1" t="s">
        <v>493</v>
      </c>
      <c r="D1578" s="23" t="s">
        <v>272</v>
      </c>
      <c r="E1578" s="1" t="s">
        <v>156</v>
      </c>
      <c r="F1578" s="2" t="s">
        <v>120</v>
      </c>
      <c r="G1578" s="21" t="n">
        <f aca="false">K1578/3.1416</f>
        <v>3.18309141838554</v>
      </c>
      <c r="H1578" s="1" t="n">
        <v>2</v>
      </c>
      <c r="I1578" s="1" t="s">
        <v>129</v>
      </c>
      <c r="J1578" s="1" t="s">
        <v>494</v>
      </c>
      <c r="K1578" s="1" t="n">
        <v>10</v>
      </c>
    </row>
    <row r="1579" customFormat="false" ht="14.25" hidden="true" customHeight="false" outlineLevel="0" collapsed="false">
      <c r="A1579" s="1" t="n">
        <v>11</v>
      </c>
      <c r="B1579" s="1" t="s">
        <v>82</v>
      </c>
      <c r="C1579" s="1" t="s">
        <v>493</v>
      </c>
      <c r="D1579" s="23" t="s">
        <v>272</v>
      </c>
      <c r="E1579" s="1" t="s">
        <v>156</v>
      </c>
      <c r="F1579" s="1" t="s">
        <v>120</v>
      </c>
      <c r="G1579" s="21" t="n">
        <f aca="false">K1579/3.1416</f>
        <v>2.54647313470843</v>
      </c>
      <c r="H1579" s="1" t="n">
        <v>2</v>
      </c>
      <c r="I1579" s="1" t="s">
        <v>127</v>
      </c>
      <c r="J1579" s="1" t="s">
        <v>494</v>
      </c>
      <c r="K1579" s="1" t="n">
        <v>8</v>
      </c>
    </row>
    <row r="1580" customFormat="false" ht="14.25" hidden="true" customHeight="false" outlineLevel="0" collapsed="false">
      <c r="A1580" s="1" t="n">
        <v>14</v>
      </c>
      <c r="B1580" s="1" t="s">
        <v>131</v>
      </c>
      <c r="C1580" s="1" t="s">
        <v>493</v>
      </c>
      <c r="D1580" s="23" t="s">
        <v>341</v>
      </c>
      <c r="E1580" s="1" t="s">
        <v>156</v>
      </c>
      <c r="F1580" s="1" t="s">
        <v>138</v>
      </c>
      <c r="G1580" s="21" t="n">
        <f aca="false">K1580/3.1416</f>
        <v>3.18309141838554</v>
      </c>
      <c r="H1580" s="1" t="n">
        <v>4</v>
      </c>
      <c r="I1580" s="1" t="s">
        <v>129</v>
      </c>
      <c r="J1580" s="1" t="s">
        <v>494</v>
      </c>
      <c r="K1580" s="1" t="n">
        <v>10</v>
      </c>
    </row>
    <row r="1581" customFormat="false" ht="14.25" hidden="true" customHeight="false" outlineLevel="0" collapsed="false">
      <c r="A1581" s="1" t="n">
        <v>14</v>
      </c>
      <c r="B1581" s="1" t="s">
        <v>131</v>
      </c>
      <c r="C1581" s="1" t="s">
        <v>493</v>
      </c>
      <c r="D1581" s="23" t="s">
        <v>341</v>
      </c>
      <c r="E1581" s="1" t="s">
        <v>156</v>
      </c>
      <c r="F1581" s="1" t="s">
        <v>138</v>
      </c>
      <c r="G1581" s="21" t="n">
        <f aca="false">K1581/3.1416</f>
        <v>3.18309141838554</v>
      </c>
      <c r="H1581" s="1" t="n">
        <v>3</v>
      </c>
      <c r="I1581" s="1" t="s">
        <v>129</v>
      </c>
      <c r="J1581" s="1" t="s">
        <v>494</v>
      </c>
      <c r="K1581" s="1" t="n">
        <v>10</v>
      </c>
    </row>
    <row r="1582" customFormat="false" ht="14.25" hidden="true" customHeight="false" outlineLevel="0" collapsed="false">
      <c r="A1582" s="1" t="n">
        <v>14</v>
      </c>
      <c r="B1582" s="1" t="s">
        <v>131</v>
      </c>
      <c r="C1582" s="1" t="s">
        <v>493</v>
      </c>
      <c r="D1582" s="23" t="s">
        <v>341</v>
      </c>
      <c r="E1582" s="1" t="s">
        <v>156</v>
      </c>
      <c r="F1582" s="1" t="s">
        <v>138</v>
      </c>
      <c r="G1582" s="21" t="n">
        <f aca="false">K1582/3.1416</f>
        <v>2.54647313470843</v>
      </c>
      <c r="H1582" s="1" t="n">
        <v>2</v>
      </c>
      <c r="I1582" s="1" t="s">
        <v>129</v>
      </c>
      <c r="J1582" s="1" t="s">
        <v>494</v>
      </c>
      <c r="K1582" s="1" t="n">
        <v>8</v>
      </c>
    </row>
    <row r="1583" customFormat="false" ht="14.25" hidden="true" customHeight="false" outlineLevel="0" collapsed="false">
      <c r="A1583" s="1" t="n">
        <v>18</v>
      </c>
      <c r="B1583" s="1" t="s">
        <v>128</v>
      </c>
      <c r="C1583" s="1" t="s">
        <v>493</v>
      </c>
      <c r="D1583" s="23" t="s">
        <v>272</v>
      </c>
      <c r="E1583" s="1" t="s">
        <v>156</v>
      </c>
      <c r="F1583" s="1" t="s">
        <v>120</v>
      </c>
      <c r="G1583" s="21" t="n">
        <f aca="false">K1583/3.1416</f>
        <v>3.50140056022409</v>
      </c>
      <c r="H1583" s="1" t="n">
        <v>6</v>
      </c>
      <c r="I1583" s="1" t="s">
        <v>127</v>
      </c>
      <c r="J1583" s="1" t="s">
        <v>494</v>
      </c>
      <c r="K1583" s="1" t="n">
        <v>11</v>
      </c>
    </row>
    <row r="1584" customFormat="false" ht="14.25" hidden="true" customHeight="false" outlineLevel="0" collapsed="false">
      <c r="A1584" s="1" t="n">
        <v>19</v>
      </c>
      <c r="B1584" s="1" t="s">
        <v>128</v>
      </c>
      <c r="C1584" s="1" t="s">
        <v>493</v>
      </c>
      <c r="D1584" s="23" t="s">
        <v>272</v>
      </c>
      <c r="E1584" s="1" t="s">
        <v>156</v>
      </c>
      <c r="F1584" s="1" t="s">
        <v>120</v>
      </c>
      <c r="G1584" s="21" t="n">
        <f aca="false">K1584/3.1416</f>
        <v>2.86478227654698</v>
      </c>
      <c r="H1584" s="1" t="n">
        <v>4</v>
      </c>
      <c r="I1584" s="1" t="s">
        <v>129</v>
      </c>
      <c r="J1584" s="1" t="s">
        <v>494</v>
      </c>
      <c r="K1584" s="1" t="n">
        <v>9</v>
      </c>
    </row>
    <row r="1585" customFormat="false" ht="14.25" hidden="true" customHeight="false" outlineLevel="0" collapsed="false">
      <c r="A1585" s="1" t="n">
        <v>22</v>
      </c>
      <c r="B1585" s="1" t="s">
        <v>135</v>
      </c>
      <c r="C1585" s="1" t="s">
        <v>493</v>
      </c>
      <c r="D1585" s="23" t="s">
        <v>279</v>
      </c>
      <c r="E1585" s="1" t="s">
        <v>156</v>
      </c>
      <c r="F1585" s="1" t="s">
        <v>120</v>
      </c>
      <c r="G1585" s="21" t="n">
        <f aca="false">K1585/3.1416</f>
        <v>2.86478227654698</v>
      </c>
      <c r="H1585" s="1" t="n">
        <v>4</v>
      </c>
      <c r="I1585" s="1" t="s">
        <v>129</v>
      </c>
      <c r="J1585" s="1" t="s">
        <v>494</v>
      </c>
      <c r="K1585" s="1" t="n">
        <v>9</v>
      </c>
    </row>
    <row r="1586" customFormat="false" ht="14.25" hidden="true" customHeight="false" outlineLevel="0" collapsed="false">
      <c r="A1586" s="1" t="n">
        <v>24</v>
      </c>
      <c r="B1586" s="1" t="s">
        <v>135</v>
      </c>
      <c r="C1586" s="1" t="s">
        <v>493</v>
      </c>
      <c r="D1586" s="23" t="s">
        <v>272</v>
      </c>
      <c r="E1586" s="1" t="s">
        <v>156</v>
      </c>
      <c r="F1586" s="1" t="s">
        <v>120</v>
      </c>
      <c r="G1586" s="21" t="n">
        <f aca="false">K1586/3.1416</f>
        <v>5.09294626941686</v>
      </c>
      <c r="H1586" s="1" t="n">
        <v>7</v>
      </c>
      <c r="I1586" s="1" t="s">
        <v>129</v>
      </c>
      <c r="J1586" s="1" t="s">
        <v>494</v>
      </c>
      <c r="K1586" s="1" t="n">
        <v>16</v>
      </c>
    </row>
    <row r="1587" customFormat="false" ht="14.25" hidden="true" customHeight="false" outlineLevel="0" collapsed="false">
      <c r="A1587" s="1" t="n">
        <v>24</v>
      </c>
      <c r="B1587" s="1" t="s">
        <v>135</v>
      </c>
      <c r="C1587" s="1" t="s">
        <v>493</v>
      </c>
      <c r="D1587" s="23" t="s">
        <v>272</v>
      </c>
      <c r="E1587" s="1" t="s">
        <v>156</v>
      </c>
      <c r="F1587" s="1" t="s">
        <v>120</v>
      </c>
      <c r="G1587" s="21" t="n">
        <f aca="false">K1587/3.1416</f>
        <v>6.68449197860963</v>
      </c>
      <c r="H1587" s="1" t="n">
        <v>4</v>
      </c>
      <c r="I1587" s="1" t="s">
        <v>129</v>
      </c>
      <c r="J1587" s="1" t="s">
        <v>494</v>
      </c>
      <c r="K1587" s="1" t="n">
        <v>21</v>
      </c>
    </row>
    <row r="1588" customFormat="false" ht="14.25" hidden="true" customHeight="false" outlineLevel="0" collapsed="false">
      <c r="A1588" s="1" t="n">
        <v>24</v>
      </c>
      <c r="B1588" s="1" t="s">
        <v>135</v>
      </c>
      <c r="C1588" s="1" t="s">
        <v>493</v>
      </c>
      <c r="D1588" s="23" t="s">
        <v>272</v>
      </c>
      <c r="E1588" s="1" t="s">
        <v>156</v>
      </c>
      <c r="F1588" s="1" t="s">
        <v>120</v>
      </c>
      <c r="G1588" s="21" t="n">
        <f aca="false">K1588/3.1416</f>
        <v>5.72956455309397</v>
      </c>
      <c r="H1588" s="1" t="n">
        <v>7</v>
      </c>
      <c r="I1588" s="1" t="s">
        <v>129</v>
      </c>
      <c r="J1588" s="1" t="s">
        <v>494</v>
      </c>
      <c r="K1588" s="1" t="n">
        <v>18</v>
      </c>
    </row>
    <row r="1589" customFormat="false" ht="14.25" hidden="true" customHeight="false" outlineLevel="0" collapsed="false">
      <c r="A1589" s="1" t="n">
        <v>25</v>
      </c>
      <c r="B1589" s="1" t="s">
        <v>135</v>
      </c>
      <c r="C1589" s="1" t="s">
        <v>493</v>
      </c>
      <c r="D1589" s="23" t="s">
        <v>295</v>
      </c>
      <c r="E1589" s="1" t="s">
        <v>156</v>
      </c>
      <c r="F1589" s="1" t="s">
        <v>120</v>
      </c>
      <c r="G1589" s="21" t="n">
        <f aca="false">K1589/3.1416</f>
        <v>2.86478227654698</v>
      </c>
      <c r="H1589" s="1" t="n">
        <v>6</v>
      </c>
      <c r="I1589" s="1" t="s">
        <v>129</v>
      </c>
      <c r="J1589" s="1" t="s">
        <v>494</v>
      </c>
      <c r="K1589" s="1" t="n">
        <v>9</v>
      </c>
    </row>
    <row r="1590" customFormat="false" ht="14.25" hidden="true" customHeight="false" outlineLevel="0" collapsed="false">
      <c r="A1590" s="1" t="n">
        <v>25</v>
      </c>
      <c r="B1590" s="1" t="s">
        <v>135</v>
      </c>
      <c r="C1590" s="1" t="s">
        <v>493</v>
      </c>
      <c r="D1590" s="23" t="s">
        <v>272</v>
      </c>
      <c r="E1590" s="1" t="s">
        <v>156</v>
      </c>
      <c r="F1590" s="1" t="s">
        <v>120</v>
      </c>
      <c r="G1590" s="21" t="n">
        <f aca="false">K1590/3.1416</f>
        <v>2.54647313470843</v>
      </c>
      <c r="H1590" s="1" t="n">
        <v>5</v>
      </c>
      <c r="I1590" s="1" t="s">
        <v>127</v>
      </c>
      <c r="J1590" s="1" t="s">
        <v>494</v>
      </c>
      <c r="K1590" s="1" t="n">
        <v>8</v>
      </c>
    </row>
  </sheetData>
  <autoFilter ref="A1:K1590">
    <filterColumn colId="1">
      <filters>
        <filter val="Forêt protégée"/>
      </filters>
    </filterColumn>
    <filterColumn colId="10">
      <filters>
        <filter val="16"/>
        <filter val="17"/>
        <filter val="18"/>
        <filter val="19"/>
        <filter val="20"/>
        <filter val="21"/>
        <filter val="25"/>
        <filter val="26"/>
        <filter val="30"/>
        <filter val="37"/>
        <filter val="42"/>
        <filter val="61"/>
        <filter val="65"/>
      </filters>
    </filterColumn>
    <filterColumn colId="0">
      <filters>
        <filter val="10"/>
      </filters>
    </filterColumn>
  </autoFilter>
  <dataValidations count="1">
    <dataValidation allowBlank="true" errorStyle="stop" operator="between" showDropDown="false" showErrorMessage="true" showInputMessage="true" sqref="F2:F6 I2:I6 F27 I27 F29:F31 I31 F35 I35 F79:F82 I79:I82 F108:F110 I108:I110 F114:F115 F159:F164 I159:I164 F175:F177 I175:I176 F178 F201:F202 I201 F224:F225 I224:I225 F240:F242 I240:I242 F258:F261 I258:I261 F270:F278 I270:I277 F279 F430 I430:I432 F432 F435 I435 F440:F448 I440:I447 F449:F451 F533:F542 I533:I541 F562:F565 I562:I564 F569:F578 I569:I578 F596:F600 I596:I601 F624 I624 F637:F639 I637:I638 F662:F665 I662:I664 F666:F669 F718:F722 I718:I721 F725:F731 I725:I731 F742 I742 I751 F787 I787 F800:F805 I800:I811 F808:F815 F851:F852 I851:I852 F882 I882 F904 I904 F907 I907 F912:F921 I912:I922 F923 F977 I977:I980 F979 F999:F1008 I999:I1007 F1009 F1036:F1040 I1036:I1040 F1046 I1046 F1070:F1085 I1070:I1084 F1086:F1087 F1089 F1105:F1108 I1105:I1107 F1116:F1118 I1116:I1117 F1133:F1137 I1133:I1137 F1184 I1184 I1201 F1205:F1211 I1205:I1211 F1225:F1227 F1281 F1285 I1285 F1333 I1333 F1335:F1338 I1335:I1337 F1345:F1352 I1383:I1384 F1390:F1402 I1390:I1401 F1403:F1425 F1427 F1441 I1441 F1472:F1479 I1472:I1479 F1484 I1484 F1498:F1499 I1498:I1499 F1518 I1518 F1524:F1538 I1524:I1538 F1561:F1564 I1561:I1564 F1576:F1578 I1576:I1577" type="list">
      <formula1>#ref!</formula1>
      <formula2>0</formula2>
    </dataValidation>
  </dataValidations>
  <hyperlinks>
    <hyperlink ref="D536" r:id="rId1" display="Chrysophyllum boivinianum"/>
    <hyperlink ref="D537" r:id="rId2" display="Chrysophyllum boivinianum"/>
    <hyperlink ref="D538" r:id="rId3" display="Chrysophyllum boivinianu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2"/>
  <sheetViews>
    <sheetView showFormulas="false" showGridLines="true" showRowColHeaders="true" showZeros="true" rightToLeft="false" tabSelected="false" showOutlineSymbols="true" defaultGridColor="true" view="normal" topLeftCell="F1" colorId="64" zoomScale="80" zoomScaleNormal="80" zoomScalePageLayoutView="100" workbookViewId="0">
      <selection pane="topLeft" activeCell="F1" activeCellId="0" sqref="F1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5" min="5" style="1" width="13.66"/>
  </cols>
  <sheetData>
    <row r="1" customFormat="false" ht="14.25" hidden="false" customHeight="false" outlineLevel="0" collapsed="false">
      <c r="A1" s="2" t="s">
        <v>495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496</v>
      </c>
    </row>
    <row r="2" customFormat="false" ht="14.25" hidden="false" customHeight="false" outlineLevel="0" collapsed="false">
      <c r="A2" s="1" t="n">
        <v>1</v>
      </c>
      <c r="B2" s="1" t="s">
        <v>72</v>
      </c>
      <c r="C2" s="1" t="s">
        <v>252</v>
      </c>
      <c r="D2" s="1" t="s">
        <v>497</v>
      </c>
      <c r="E2" s="1" t="s">
        <v>254</v>
      </c>
      <c r="F2" s="1" t="n">
        <v>10</v>
      </c>
    </row>
    <row r="3" customFormat="false" ht="14.25" hidden="false" customHeight="false" outlineLevel="0" collapsed="false">
      <c r="A3" s="1" t="n">
        <v>1</v>
      </c>
      <c r="B3" s="1" t="s">
        <v>72</v>
      </c>
      <c r="C3" s="1" t="s">
        <v>370</v>
      </c>
      <c r="D3" s="1" t="s">
        <v>352</v>
      </c>
      <c r="E3" s="1" t="s">
        <v>350</v>
      </c>
      <c r="F3" s="1" t="n">
        <v>1</v>
      </c>
    </row>
    <row r="4" customFormat="false" ht="14.25" hidden="false" customHeight="false" outlineLevel="0" collapsed="false">
      <c r="A4" s="1" t="n">
        <v>1</v>
      </c>
      <c r="B4" s="1" t="s">
        <v>72</v>
      </c>
      <c r="C4" s="1" t="s">
        <v>498</v>
      </c>
      <c r="E4" s="1" t="s">
        <v>350</v>
      </c>
      <c r="F4" s="1" t="n">
        <v>2</v>
      </c>
    </row>
    <row r="5" customFormat="false" ht="14.25" hidden="false" customHeight="false" outlineLevel="0" collapsed="false">
      <c r="A5" s="1" t="n">
        <v>1</v>
      </c>
      <c r="B5" s="1" t="s">
        <v>72</v>
      </c>
      <c r="C5" s="1" t="s">
        <v>499</v>
      </c>
      <c r="D5" s="1" t="s">
        <v>319</v>
      </c>
      <c r="E5" s="1" t="s">
        <v>206</v>
      </c>
      <c r="F5" s="1" t="n">
        <v>1</v>
      </c>
    </row>
    <row r="6" customFormat="false" ht="14.25" hidden="false" customHeight="false" outlineLevel="0" collapsed="false">
      <c r="A6" s="1" t="n">
        <v>1</v>
      </c>
      <c r="B6" s="1" t="s">
        <v>72</v>
      </c>
      <c r="C6" s="1" t="s">
        <v>500</v>
      </c>
      <c r="D6" s="1" t="s">
        <v>319</v>
      </c>
      <c r="E6" s="1" t="s">
        <v>206</v>
      </c>
      <c r="F6" s="1" t="n">
        <v>1</v>
      </c>
    </row>
    <row r="7" customFormat="false" ht="14.25" hidden="false" customHeight="false" outlineLevel="0" collapsed="false">
      <c r="A7" s="1" t="n">
        <v>1</v>
      </c>
      <c r="B7" s="1" t="s">
        <v>72</v>
      </c>
      <c r="C7" s="1" t="s">
        <v>452</v>
      </c>
      <c r="D7" s="1" t="s">
        <v>345</v>
      </c>
      <c r="E7" s="1" t="s">
        <v>174</v>
      </c>
      <c r="F7" s="1" t="n">
        <v>2</v>
      </c>
    </row>
    <row r="8" customFormat="false" ht="14.25" hidden="false" customHeight="false" outlineLevel="0" collapsed="false">
      <c r="A8" s="1" t="n">
        <v>1</v>
      </c>
      <c r="B8" s="1" t="s">
        <v>72</v>
      </c>
      <c r="C8" s="1" t="s">
        <v>463</v>
      </c>
      <c r="D8" s="1" t="s">
        <v>345</v>
      </c>
      <c r="E8" s="1" t="s">
        <v>174</v>
      </c>
      <c r="F8" s="1" t="n">
        <v>1</v>
      </c>
    </row>
    <row r="9" customFormat="false" ht="14.25" hidden="false" customHeight="false" outlineLevel="0" collapsed="false">
      <c r="A9" s="1" t="n">
        <v>1</v>
      </c>
      <c r="B9" s="1" t="s">
        <v>72</v>
      </c>
      <c r="C9" s="1" t="s">
        <v>296</v>
      </c>
      <c r="D9" s="1" t="s">
        <v>159</v>
      </c>
      <c r="E9" s="1" t="s">
        <v>160</v>
      </c>
      <c r="F9" s="1" t="n">
        <v>1</v>
      </c>
    </row>
    <row r="10" customFormat="false" ht="14.25" hidden="false" customHeight="false" outlineLevel="0" collapsed="false">
      <c r="A10" s="1" t="n">
        <v>1</v>
      </c>
      <c r="B10" s="1" t="s">
        <v>72</v>
      </c>
      <c r="C10" s="1" t="s">
        <v>370</v>
      </c>
      <c r="E10" s="1" t="s">
        <v>501</v>
      </c>
      <c r="F10" s="1" t="n">
        <v>1</v>
      </c>
    </row>
    <row r="11" customFormat="false" ht="14.25" hidden="false" customHeight="false" outlineLevel="0" collapsed="false">
      <c r="A11" s="1" t="n">
        <v>1</v>
      </c>
      <c r="B11" s="1" t="s">
        <v>72</v>
      </c>
      <c r="C11" s="1" t="s">
        <v>153</v>
      </c>
      <c r="E11" s="1" t="s">
        <v>502</v>
      </c>
      <c r="F11" s="1" t="n">
        <v>1</v>
      </c>
    </row>
    <row r="12" customFormat="false" ht="14.25" hidden="false" customHeight="false" outlineLevel="0" collapsed="false">
      <c r="A12" s="1" t="n">
        <v>1</v>
      </c>
      <c r="B12" s="1" t="s">
        <v>72</v>
      </c>
      <c r="C12" s="1" t="s">
        <v>293</v>
      </c>
      <c r="E12" s="1" t="s">
        <v>186</v>
      </c>
      <c r="F12" s="1" t="n">
        <v>1</v>
      </c>
    </row>
    <row r="13" customFormat="false" ht="14.25" hidden="false" customHeight="false" outlineLevel="0" collapsed="false">
      <c r="A13" s="1" t="n">
        <v>1</v>
      </c>
      <c r="B13" s="1" t="s">
        <v>72</v>
      </c>
      <c r="C13" s="1" t="s">
        <v>503</v>
      </c>
      <c r="E13" s="1" t="s">
        <v>157</v>
      </c>
      <c r="F13" s="1" t="n">
        <v>1</v>
      </c>
    </row>
    <row r="14" customFormat="false" ht="14.25" hidden="false" customHeight="false" outlineLevel="0" collapsed="false">
      <c r="A14" s="1" t="n">
        <v>1</v>
      </c>
      <c r="B14" s="1" t="s">
        <v>72</v>
      </c>
      <c r="C14" s="1" t="s">
        <v>427</v>
      </c>
      <c r="E14" s="1" t="s">
        <v>124</v>
      </c>
      <c r="F14" s="1" t="n">
        <v>11</v>
      </c>
    </row>
    <row r="15" customFormat="false" ht="14.25" hidden="false" customHeight="false" outlineLevel="0" collapsed="false">
      <c r="A15" s="1" t="n">
        <v>1</v>
      </c>
      <c r="B15" s="1" t="s">
        <v>72</v>
      </c>
      <c r="C15" s="1" t="s">
        <v>105</v>
      </c>
      <c r="F15" s="1" t="n">
        <v>2</v>
      </c>
    </row>
    <row r="16" customFormat="false" ht="14.25" hidden="false" customHeight="false" outlineLevel="0" collapsed="false">
      <c r="A16" s="1" t="n">
        <v>1</v>
      </c>
      <c r="B16" s="1" t="s">
        <v>72</v>
      </c>
      <c r="C16" s="1" t="s">
        <v>460</v>
      </c>
      <c r="D16" s="1" t="s">
        <v>245</v>
      </c>
      <c r="E16" s="1" t="s">
        <v>155</v>
      </c>
      <c r="F16" s="1" t="n">
        <v>1</v>
      </c>
    </row>
    <row r="17" customFormat="false" ht="14.25" hidden="false" customHeight="false" outlineLevel="0" collapsed="false">
      <c r="A17" s="1" t="n">
        <v>1</v>
      </c>
      <c r="B17" s="1" t="s">
        <v>72</v>
      </c>
      <c r="C17" s="1" t="s">
        <v>179</v>
      </c>
      <c r="E17" s="1" t="s">
        <v>156</v>
      </c>
      <c r="F17" s="1" t="n">
        <v>1</v>
      </c>
    </row>
    <row r="18" customFormat="false" ht="14.25" hidden="false" customHeight="false" outlineLevel="0" collapsed="false">
      <c r="A18" s="1" t="n">
        <v>1</v>
      </c>
      <c r="B18" s="1" t="s">
        <v>72</v>
      </c>
      <c r="C18" s="1" t="s">
        <v>504</v>
      </c>
      <c r="D18" s="1" t="s">
        <v>505</v>
      </c>
      <c r="E18" s="1" t="s">
        <v>502</v>
      </c>
      <c r="F18" s="1" t="n">
        <v>1</v>
      </c>
    </row>
    <row r="19" customFormat="false" ht="14.25" hidden="false" customHeight="false" outlineLevel="0" collapsed="false">
      <c r="A19" s="1" t="n">
        <v>2</v>
      </c>
      <c r="B19" s="1" t="s">
        <v>72</v>
      </c>
      <c r="C19" s="1" t="s">
        <v>236</v>
      </c>
      <c r="D19" s="1" t="s">
        <v>235</v>
      </c>
      <c r="E19" s="1" t="s">
        <v>156</v>
      </c>
      <c r="F19" s="1" t="n">
        <v>1</v>
      </c>
    </row>
    <row r="20" customFormat="false" ht="14.25" hidden="false" customHeight="false" outlineLevel="0" collapsed="false">
      <c r="A20" s="1" t="n">
        <v>2</v>
      </c>
      <c r="B20" s="1" t="s">
        <v>72</v>
      </c>
      <c r="C20" s="1" t="s">
        <v>105</v>
      </c>
      <c r="E20" s="1" t="s">
        <v>156</v>
      </c>
      <c r="F20" s="1" t="n">
        <v>2</v>
      </c>
    </row>
    <row r="21" customFormat="false" ht="14.25" hidden="false" customHeight="false" outlineLevel="0" collapsed="false">
      <c r="A21" s="1" t="n">
        <v>2</v>
      </c>
      <c r="B21" s="1" t="s">
        <v>72</v>
      </c>
      <c r="C21" s="1" t="s">
        <v>498</v>
      </c>
      <c r="E21" s="1" t="s">
        <v>200</v>
      </c>
      <c r="F21" s="1" t="n">
        <v>1</v>
      </c>
    </row>
    <row r="22" customFormat="false" ht="14.25" hidden="false" customHeight="false" outlineLevel="0" collapsed="false">
      <c r="A22" s="1" t="n">
        <v>2</v>
      </c>
      <c r="B22" s="1" t="s">
        <v>72</v>
      </c>
      <c r="C22" s="1" t="s">
        <v>78</v>
      </c>
      <c r="D22" s="1" t="s">
        <v>407</v>
      </c>
      <c r="E22" s="1" t="s">
        <v>408</v>
      </c>
      <c r="F22" s="1" t="n">
        <v>1</v>
      </c>
    </row>
    <row r="23" customFormat="false" ht="14.25" hidden="false" customHeight="false" outlineLevel="0" collapsed="false">
      <c r="A23" s="1" t="n">
        <v>2</v>
      </c>
      <c r="B23" s="1" t="s">
        <v>72</v>
      </c>
      <c r="C23" s="1" t="s">
        <v>506</v>
      </c>
      <c r="D23" s="1" t="s">
        <v>319</v>
      </c>
      <c r="E23" s="1" t="s">
        <v>206</v>
      </c>
      <c r="F23" s="1" t="n">
        <v>2</v>
      </c>
    </row>
    <row r="24" customFormat="false" ht="14.25" hidden="false" customHeight="false" outlineLevel="0" collapsed="false">
      <c r="A24" s="1" t="n">
        <v>2</v>
      </c>
      <c r="B24" s="1" t="s">
        <v>72</v>
      </c>
      <c r="C24" s="1" t="s">
        <v>252</v>
      </c>
      <c r="D24" s="1" t="s">
        <v>507</v>
      </c>
      <c r="E24" s="1" t="s">
        <v>254</v>
      </c>
      <c r="F24" s="1" t="n">
        <v>1</v>
      </c>
    </row>
    <row r="25" customFormat="false" ht="14.25" hidden="false" customHeight="false" outlineLevel="0" collapsed="false">
      <c r="A25" s="1" t="n">
        <v>2</v>
      </c>
      <c r="B25" s="1" t="s">
        <v>72</v>
      </c>
      <c r="C25" s="1" t="s">
        <v>293</v>
      </c>
      <c r="E25" s="1" t="s">
        <v>156</v>
      </c>
      <c r="F25" s="1" t="n">
        <v>2</v>
      </c>
    </row>
    <row r="26" customFormat="false" ht="14.25" hidden="false" customHeight="false" outlineLevel="0" collapsed="false">
      <c r="A26" s="1" t="n">
        <v>2</v>
      </c>
      <c r="B26" s="1" t="s">
        <v>72</v>
      </c>
      <c r="C26" s="1" t="s">
        <v>208</v>
      </c>
      <c r="F26" s="1" t="n">
        <v>1</v>
      </c>
    </row>
    <row r="27" customFormat="false" ht="14.25" hidden="false" customHeight="false" outlineLevel="0" collapsed="false">
      <c r="A27" s="1" t="n">
        <v>2</v>
      </c>
      <c r="B27" s="1" t="s">
        <v>72</v>
      </c>
      <c r="C27" s="1" t="s">
        <v>208</v>
      </c>
      <c r="F27" s="1" t="n">
        <v>2</v>
      </c>
    </row>
    <row r="28" customFormat="false" ht="14.25" hidden="false" customHeight="false" outlineLevel="0" collapsed="false">
      <c r="A28" s="1" t="n">
        <v>2</v>
      </c>
      <c r="B28" s="1" t="s">
        <v>72</v>
      </c>
      <c r="C28" s="1" t="s">
        <v>415</v>
      </c>
      <c r="D28" s="1" t="s">
        <v>319</v>
      </c>
      <c r="E28" s="1" t="s">
        <v>206</v>
      </c>
      <c r="F28" s="1" t="n">
        <v>1</v>
      </c>
    </row>
    <row r="29" customFormat="false" ht="14.25" hidden="false" customHeight="false" outlineLevel="0" collapsed="false">
      <c r="A29" s="1" t="n">
        <v>2</v>
      </c>
      <c r="B29" s="1" t="s">
        <v>72</v>
      </c>
      <c r="C29" s="1" t="s">
        <v>252</v>
      </c>
      <c r="D29" s="1" t="s">
        <v>507</v>
      </c>
      <c r="E29" s="1" t="s">
        <v>254</v>
      </c>
      <c r="F29" s="1" t="n">
        <v>1</v>
      </c>
    </row>
    <row r="30" customFormat="false" ht="14.25" hidden="false" customHeight="false" outlineLevel="0" collapsed="false">
      <c r="A30" s="1" t="n">
        <v>2</v>
      </c>
      <c r="B30" s="1" t="s">
        <v>72</v>
      </c>
      <c r="C30" s="1" t="s">
        <v>78</v>
      </c>
      <c r="D30" s="1" t="s">
        <v>407</v>
      </c>
      <c r="E30" s="1" t="s">
        <v>408</v>
      </c>
      <c r="F30" s="1" t="n">
        <v>1</v>
      </c>
    </row>
    <row r="31" customFormat="false" ht="14.25" hidden="false" customHeight="false" outlineLevel="0" collapsed="false">
      <c r="A31" s="1" t="n">
        <v>2</v>
      </c>
      <c r="B31" s="1" t="s">
        <v>72</v>
      </c>
      <c r="C31" s="1" t="s">
        <v>105</v>
      </c>
      <c r="E31" s="1" t="s">
        <v>145</v>
      </c>
      <c r="F31" s="1" t="n">
        <v>1</v>
      </c>
    </row>
    <row r="32" customFormat="false" ht="14.25" hidden="false" customHeight="false" outlineLevel="0" collapsed="false">
      <c r="A32" s="1" t="n">
        <v>2</v>
      </c>
      <c r="B32" s="1" t="s">
        <v>72</v>
      </c>
      <c r="C32" s="1" t="s">
        <v>435</v>
      </c>
      <c r="F32" s="1" t="n">
        <v>1</v>
      </c>
    </row>
    <row r="33" customFormat="false" ht="14.25" hidden="false" customHeight="false" outlineLevel="0" collapsed="false">
      <c r="A33" s="1" t="n">
        <v>2</v>
      </c>
      <c r="B33" s="1" t="s">
        <v>72</v>
      </c>
      <c r="C33" s="1" t="s">
        <v>326</v>
      </c>
      <c r="E33" s="1" t="s">
        <v>210</v>
      </c>
      <c r="F33" s="1" t="n">
        <v>1</v>
      </c>
    </row>
    <row r="34" customFormat="false" ht="14.25" hidden="false" customHeight="false" outlineLevel="0" collapsed="false">
      <c r="A34" s="1" t="n">
        <v>2</v>
      </c>
      <c r="B34" s="1" t="s">
        <v>72</v>
      </c>
      <c r="C34" s="1" t="s">
        <v>379</v>
      </c>
      <c r="F34" s="1" t="n">
        <v>2</v>
      </c>
    </row>
    <row r="35" customFormat="false" ht="14.25" hidden="false" customHeight="false" outlineLevel="0" collapsed="false">
      <c r="A35" s="1" t="n">
        <v>3</v>
      </c>
      <c r="B35" s="1" t="s">
        <v>82</v>
      </c>
      <c r="C35" s="1" t="s">
        <v>252</v>
      </c>
      <c r="D35" s="1" t="s">
        <v>507</v>
      </c>
      <c r="E35" s="1" t="s">
        <v>254</v>
      </c>
      <c r="F35" s="1" t="n">
        <v>4</v>
      </c>
    </row>
    <row r="36" customFormat="false" ht="14.25" hidden="false" customHeight="false" outlineLevel="0" collapsed="false">
      <c r="A36" s="1" t="n">
        <v>3</v>
      </c>
      <c r="B36" s="1" t="s">
        <v>82</v>
      </c>
      <c r="C36" s="1" t="s">
        <v>284</v>
      </c>
      <c r="E36" s="1" t="s">
        <v>157</v>
      </c>
      <c r="F36" s="1" t="n">
        <v>1</v>
      </c>
    </row>
    <row r="37" customFormat="false" ht="14.25" hidden="false" customHeight="false" outlineLevel="0" collapsed="false">
      <c r="A37" s="1" t="n">
        <v>3</v>
      </c>
      <c r="B37" s="1" t="s">
        <v>82</v>
      </c>
      <c r="C37" s="1" t="s">
        <v>286</v>
      </c>
      <c r="D37" s="1" t="s">
        <v>422</v>
      </c>
      <c r="E37" s="1" t="s">
        <v>210</v>
      </c>
      <c r="F37" s="1" t="n">
        <v>1</v>
      </c>
    </row>
    <row r="38" customFormat="false" ht="14.25" hidden="false" customHeight="false" outlineLevel="0" collapsed="false">
      <c r="A38" s="1" t="n">
        <v>3</v>
      </c>
      <c r="B38" s="1" t="s">
        <v>82</v>
      </c>
      <c r="C38" s="1" t="s">
        <v>93</v>
      </c>
      <c r="E38" s="1" t="s">
        <v>145</v>
      </c>
      <c r="F38" s="1" t="n">
        <v>3</v>
      </c>
    </row>
    <row r="39" customFormat="false" ht="14.25" hidden="false" customHeight="false" outlineLevel="0" collapsed="false">
      <c r="A39" s="1" t="n">
        <v>3</v>
      </c>
      <c r="B39" s="1" t="s">
        <v>82</v>
      </c>
      <c r="C39" s="1" t="s">
        <v>293</v>
      </c>
      <c r="E39" s="1" t="s">
        <v>275</v>
      </c>
      <c r="F39" s="1" t="n">
        <v>1</v>
      </c>
    </row>
    <row r="40" customFormat="false" ht="14.25" hidden="false" customHeight="false" outlineLevel="0" collapsed="false">
      <c r="A40" s="1" t="n">
        <v>3</v>
      </c>
      <c r="B40" s="1" t="s">
        <v>82</v>
      </c>
      <c r="C40" s="1" t="s">
        <v>449</v>
      </c>
      <c r="D40" s="1" t="s">
        <v>192</v>
      </c>
      <c r="E40" s="1" t="s">
        <v>193</v>
      </c>
      <c r="F40" s="1" t="n">
        <v>1</v>
      </c>
    </row>
    <row r="41" customFormat="false" ht="14.25" hidden="false" customHeight="false" outlineLevel="0" collapsed="false">
      <c r="A41" s="1" t="n">
        <v>3</v>
      </c>
      <c r="B41" s="1" t="s">
        <v>82</v>
      </c>
      <c r="C41" s="1" t="s">
        <v>236</v>
      </c>
      <c r="D41" s="1" t="s">
        <v>192</v>
      </c>
      <c r="E41" s="1" t="s">
        <v>193</v>
      </c>
      <c r="F41" s="1" t="n">
        <v>1</v>
      </c>
    </row>
    <row r="42" customFormat="false" ht="14.25" hidden="false" customHeight="false" outlineLevel="0" collapsed="false">
      <c r="A42" s="1" t="n">
        <v>3</v>
      </c>
      <c r="B42" s="1" t="s">
        <v>82</v>
      </c>
      <c r="C42" s="1" t="s">
        <v>285</v>
      </c>
      <c r="E42" s="1" t="s">
        <v>156</v>
      </c>
      <c r="F42" s="1" t="n">
        <v>3</v>
      </c>
    </row>
    <row r="43" customFormat="false" ht="14.25" hidden="false" customHeight="false" outlineLevel="0" collapsed="false">
      <c r="A43" s="1" t="n">
        <v>3</v>
      </c>
      <c r="B43" s="1" t="s">
        <v>82</v>
      </c>
      <c r="C43" s="1" t="s">
        <v>252</v>
      </c>
      <c r="D43" s="1" t="s">
        <v>507</v>
      </c>
      <c r="E43" s="1" t="s">
        <v>254</v>
      </c>
      <c r="F43" s="1" t="n">
        <v>4</v>
      </c>
    </row>
    <row r="44" customFormat="false" ht="14.25" hidden="false" customHeight="false" outlineLevel="0" collapsed="false">
      <c r="A44" s="1" t="n">
        <v>3</v>
      </c>
      <c r="B44" s="1" t="s">
        <v>82</v>
      </c>
      <c r="C44" s="1" t="s">
        <v>443</v>
      </c>
      <c r="F44" s="1" t="n">
        <v>2</v>
      </c>
    </row>
    <row r="45" customFormat="false" ht="14.25" hidden="false" customHeight="false" outlineLevel="0" collapsed="false">
      <c r="A45" s="1" t="n">
        <v>3</v>
      </c>
      <c r="B45" s="1" t="s">
        <v>82</v>
      </c>
      <c r="C45" s="1" t="s">
        <v>449</v>
      </c>
      <c r="D45" s="1" t="s">
        <v>192</v>
      </c>
      <c r="E45" s="1" t="s">
        <v>193</v>
      </c>
      <c r="F45" s="1" t="n">
        <v>1</v>
      </c>
    </row>
    <row r="46" customFormat="false" ht="14.25" hidden="false" customHeight="false" outlineLevel="0" collapsed="false">
      <c r="A46" s="1" t="n">
        <v>3</v>
      </c>
      <c r="B46" s="1" t="s">
        <v>82</v>
      </c>
      <c r="C46" s="1" t="s">
        <v>435</v>
      </c>
      <c r="D46" s="1" t="s">
        <v>225</v>
      </c>
      <c r="E46" s="1" t="s">
        <v>186</v>
      </c>
      <c r="F46" s="1" t="n">
        <v>1</v>
      </c>
    </row>
    <row r="47" customFormat="false" ht="14.25" hidden="false" customHeight="false" outlineLevel="0" collapsed="false">
      <c r="A47" s="1" t="n">
        <v>3</v>
      </c>
      <c r="B47" s="1" t="s">
        <v>82</v>
      </c>
      <c r="C47" s="1" t="s">
        <v>269</v>
      </c>
      <c r="E47" s="1" t="s">
        <v>156</v>
      </c>
      <c r="F47" s="1" t="n">
        <v>1</v>
      </c>
    </row>
    <row r="48" customFormat="false" ht="14.25" hidden="false" customHeight="false" outlineLevel="0" collapsed="false">
      <c r="A48" s="1" t="n">
        <v>3</v>
      </c>
      <c r="B48" s="1" t="s">
        <v>82</v>
      </c>
      <c r="C48" s="1" t="s">
        <v>449</v>
      </c>
      <c r="D48" s="1" t="s">
        <v>192</v>
      </c>
      <c r="E48" s="1" t="s">
        <v>193</v>
      </c>
      <c r="F48" s="1" t="n">
        <v>1</v>
      </c>
    </row>
    <row r="49" customFormat="false" ht="14.25" hidden="false" customHeight="false" outlineLevel="0" collapsed="false">
      <c r="A49" s="1" t="n">
        <v>3</v>
      </c>
      <c r="B49" s="1" t="s">
        <v>82</v>
      </c>
      <c r="C49" s="1" t="s">
        <v>296</v>
      </c>
      <c r="F49" s="1" t="n">
        <v>1</v>
      </c>
    </row>
    <row r="50" customFormat="false" ht="14.25" hidden="false" customHeight="false" outlineLevel="0" collapsed="false">
      <c r="A50" s="1" t="n">
        <v>3</v>
      </c>
      <c r="B50" s="1" t="s">
        <v>82</v>
      </c>
      <c r="C50" s="1" t="s">
        <v>508</v>
      </c>
      <c r="F50" s="1" t="n">
        <v>1</v>
      </c>
    </row>
    <row r="51" customFormat="false" ht="14.25" hidden="false" customHeight="false" outlineLevel="0" collapsed="false">
      <c r="A51" s="1" t="n">
        <v>3</v>
      </c>
      <c r="B51" s="1" t="s">
        <v>82</v>
      </c>
      <c r="C51" s="1" t="s">
        <v>285</v>
      </c>
      <c r="E51" s="1" t="s">
        <v>156</v>
      </c>
      <c r="F51" s="1" t="n">
        <v>1</v>
      </c>
    </row>
    <row r="52" customFormat="false" ht="14.25" hidden="false" customHeight="false" outlineLevel="0" collapsed="false">
      <c r="A52" s="1" t="n">
        <v>3</v>
      </c>
      <c r="B52" s="1" t="s">
        <v>82</v>
      </c>
      <c r="C52" s="1" t="s">
        <v>236</v>
      </c>
      <c r="D52" s="1" t="s">
        <v>192</v>
      </c>
      <c r="E52" s="1" t="s">
        <v>193</v>
      </c>
      <c r="F52" s="1" t="n">
        <v>1</v>
      </c>
    </row>
    <row r="53" customFormat="false" ht="14.25" hidden="false" customHeight="false" outlineLevel="0" collapsed="false">
      <c r="A53" s="1" t="n">
        <v>4</v>
      </c>
      <c r="B53" s="1" t="s">
        <v>82</v>
      </c>
      <c r="C53" s="1" t="s">
        <v>296</v>
      </c>
      <c r="E53" s="1" t="s">
        <v>289</v>
      </c>
      <c r="F53" s="1" t="n">
        <v>1</v>
      </c>
    </row>
    <row r="54" customFormat="false" ht="14.25" hidden="false" customHeight="false" outlineLevel="0" collapsed="false">
      <c r="A54" s="1" t="n">
        <v>4</v>
      </c>
      <c r="B54" s="1" t="s">
        <v>82</v>
      </c>
      <c r="C54" s="1" t="s">
        <v>509</v>
      </c>
      <c r="E54" s="1" t="s">
        <v>124</v>
      </c>
      <c r="F54" s="1" t="n">
        <v>1</v>
      </c>
    </row>
    <row r="55" customFormat="false" ht="14.25" hidden="false" customHeight="false" outlineLevel="0" collapsed="false">
      <c r="A55" s="1" t="n">
        <v>4</v>
      </c>
      <c r="B55" s="1" t="s">
        <v>82</v>
      </c>
      <c r="C55" s="1" t="s">
        <v>471</v>
      </c>
      <c r="E55" s="1" t="s">
        <v>157</v>
      </c>
      <c r="F55" s="1" t="n">
        <v>1</v>
      </c>
    </row>
    <row r="56" customFormat="false" ht="14.25" hidden="false" customHeight="false" outlineLevel="0" collapsed="false">
      <c r="A56" s="1" t="n">
        <v>4</v>
      </c>
      <c r="B56" s="1" t="s">
        <v>82</v>
      </c>
      <c r="C56" s="1" t="s">
        <v>236</v>
      </c>
      <c r="F56" s="1" t="n">
        <v>1</v>
      </c>
    </row>
    <row r="57" customFormat="false" ht="14.25" hidden="false" customHeight="false" outlineLevel="0" collapsed="false">
      <c r="A57" s="1" t="n">
        <v>4</v>
      </c>
      <c r="B57" s="1" t="s">
        <v>82</v>
      </c>
      <c r="C57" s="1" t="s">
        <v>208</v>
      </c>
      <c r="D57" s="1" t="s">
        <v>298</v>
      </c>
      <c r="E57" s="1" t="s">
        <v>299</v>
      </c>
      <c r="F57" s="1" t="n">
        <v>1</v>
      </c>
    </row>
    <row r="58" customFormat="false" ht="14.25" hidden="false" customHeight="false" outlineLevel="0" collapsed="false">
      <c r="A58" s="1" t="n">
        <v>4</v>
      </c>
      <c r="B58" s="1" t="s">
        <v>82</v>
      </c>
      <c r="C58" s="1" t="s">
        <v>510</v>
      </c>
      <c r="D58" s="1" t="s">
        <v>319</v>
      </c>
      <c r="E58" s="1" t="s">
        <v>206</v>
      </c>
      <c r="F58" s="1" t="n">
        <v>1</v>
      </c>
    </row>
    <row r="59" customFormat="false" ht="14.25" hidden="false" customHeight="false" outlineLevel="0" collapsed="false">
      <c r="A59" s="1" t="n">
        <v>4</v>
      </c>
      <c r="B59" s="1" t="s">
        <v>82</v>
      </c>
      <c r="C59" s="1" t="s">
        <v>364</v>
      </c>
      <c r="F59" s="1" t="n">
        <v>3</v>
      </c>
    </row>
    <row r="60" customFormat="false" ht="14.25" hidden="false" customHeight="false" outlineLevel="0" collapsed="false">
      <c r="A60" s="1" t="n">
        <v>4</v>
      </c>
      <c r="B60" s="1" t="s">
        <v>82</v>
      </c>
      <c r="C60" s="1" t="s">
        <v>508</v>
      </c>
      <c r="F60" s="1" t="n">
        <v>1</v>
      </c>
    </row>
    <row r="61" customFormat="false" ht="14.25" hidden="false" customHeight="false" outlineLevel="0" collapsed="false">
      <c r="A61" s="1" t="n">
        <v>4</v>
      </c>
      <c r="B61" s="1" t="s">
        <v>82</v>
      </c>
      <c r="C61" s="1" t="s">
        <v>369</v>
      </c>
      <c r="E61" s="1" t="s">
        <v>210</v>
      </c>
      <c r="F61" s="1" t="n">
        <v>1</v>
      </c>
    </row>
    <row r="62" customFormat="false" ht="14.25" hidden="false" customHeight="false" outlineLevel="0" collapsed="false">
      <c r="A62" s="1" t="n">
        <v>5</v>
      </c>
      <c r="B62" s="1" t="s">
        <v>92</v>
      </c>
      <c r="C62" s="1" t="s">
        <v>443</v>
      </c>
      <c r="F62" s="1" t="n">
        <v>1</v>
      </c>
    </row>
    <row r="63" customFormat="false" ht="14.25" hidden="false" customHeight="false" outlineLevel="0" collapsed="false">
      <c r="A63" s="1" t="n">
        <v>5</v>
      </c>
      <c r="B63" s="1" t="s">
        <v>92</v>
      </c>
      <c r="C63" s="1" t="s">
        <v>424</v>
      </c>
      <c r="F63" s="1" t="n">
        <v>1</v>
      </c>
    </row>
    <row r="64" customFormat="false" ht="14.25" hidden="false" customHeight="false" outlineLevel="0" collapsed="false">
      <c r="A64" s="1" t="n">
        <v>5</v>
      </c>
      <c r="B64" s="1" t="s">
        <v>92</v>
      </c>
      <c r="C64" s="1" t="s">
        <v>402</v>
      </c>
      <c r="D64" s="1" t="s">
        <v>235</v>
      </c>
      <c r="E64" s="1" t="s">
        <v>156</v>
      </c>
      <c r="F64" s="1" t="n">
        <v>1</v>
      </c>
    </row>
    <row r="65" customFormat="false" ht="14.25" hidden="false" customHeight="false" outlineLevel="0" collapsed="false">
      <c r="A65" s="1" t="n">
        <v>5</v>
      </c>
      <c r="B65" s="1" t="s">
        <v>92</v>
      </c>
      <c r="C65" s="1" t="s">
        <v>424</v>
      </c>
      <c r="F65" s="1" t="n">
        <v>1</v>
      </c>
    </row>
    <row r="66" customFormat="false" ht="14.25" hidden="false" customHeight="false" outlineLevel="0" collapsed="false">
      <c r="A66" s="1" t="n">
        <v>5</v>
      </c>
      <c r="B66" s="1" t="s">
        <v>92</v>
      </c>
      <c r="C66" s="1" t="s">
        <v>340</v>
      </c>
      <c r="D66" s="1" t="s">
        <v>511</v>
      </c>
      <c r="E66" s="1" t="s">
        <v>139</v>
      </c>
      <c r="F66" s="1" t="n">
        <v>3</v>
      </c>
    </row>
    <row r="67" customFormat="false" ht="14.25" hidden="false" customHeight="false" outlineLevel="0" collapsed="false">
      <c r="A67" s="1" t="n">
        <v>5</v>
      </c>
      <c r="B67" s="1" t="s">
        <v>92</v>
      </c>
      <c r="C67" s="1" t="s">
        <v>512</v>
      </c>
      <c r="E67" s="1" t="s">
        <v>156</v>
      </c>
      <c r="F67" s="1" t="n">
        <v>1</v>
      </c>
    </row>
    <row r="68" customFormat="false" ht="14.25" hidden="false" customHeight="false" outlineLevel="0" collapsed="false">
      <c r="A68" s="1" t="n">
        <v>5</v>
      </c>
      <c r="B68" s="1" t="s">
        <v>92</v>
      </c>
      <c r="C68" s="1" t="s">
        <v>358</v>
      </c>
      <c r="F68" s="1" t="n">
        <v>1</v>
      </c>
    </row>
    <row r="69" customFormat="false" ht="14.25" hidden="false" customHeight="false" outlineLevel="0" collapsed="false">
      <c r="A69" s="1" t="n">
        <v>5</v>
      </c>
      <c r="B69" s="1" t="s">
        <v>92</v>
      </c>
      <c r="C69" s="1" t="s">
        <v>513</v>
      </c>
      <c r="E69" s="1" t="s">
        <v>174</v>
      </c>
      <c r="F69" s="1" t="n">
        <v>1</v>
      </c>
    </row>
    <row r="70" customFormat="false" ht="14.25" hidden="false" customHeight="false" outlineLevel="0" collapsed="false">
      <c r="A70" s="1" t="n">
        <v>5</v>
      </c>
      <c r="B70" s="1" t="s">
        <v>92</v>
      </c>
      <c r="C70" s="1" t="s">
        <v>514</v>
      </c>
      <c r="D70" s="1" t="s">
        <v>319</v>
      </c>
      <c r="E70" s="1" t="s">
        <v>206</v>
      </c>
      <c r="F70" s="1" t="n">
        <v>1</v>
      </c>
    </row>
    <row r="71" customFormat="false" ht="14.25" hidden="false" customHeight="false" outlineLevel="0" collapsed="false">
      <c r="A71" s="1" t="n">
        <v>5</v>
      </c>
      <c r="B71" s="1" t="s">
        <v>92</v>
      </c>
      <c r="C71" s="1" t="s">
        <v>515</v>
      </c>
      <c r="E71" s="1" t="s">
        <v>155</v>
      </c>
      <c r="F71" s="1" t="n">
        <v>1</v>
      </c>
    </row>
    <row r="72" customFormat="false" ht="14.25" hidden="false" customHeight="false" outlineLevel="0" collapsed="false">
      <c r="A72" s="1" t="n">
        <v>5</v>
      </c>
      <c r="B72" s="1" t="s">
        <v>92</v>
      </c>
      <c r="C72" s="1" t="s">
        <v>366</v>
      </c>
      <c r="D72" s="1" t="s">
        <v>345</v>
      </c>
      <c r="E72" s="1" t="s">
        <v>174</v>
      </c>
      <c r="F72" s="1" t="n">
        <v>1</v>
      </c>
    </row>
    <row r="73" customFormat="false" ht="14.25" hidden="false" customHeight="false" outlineLevel="0" collapsed="false">
      <c r="A73" s="1" t="n">
        <v>5</v>
      </c>
      <c r="B73" s="1" t="s">
        <v>92</v>
      </c>
      <c r="C73" s="1" t="s">
        <v>354</v>
      </c>
      <c r="D73" s="1" t="s">
        <v>319</v>
      </c>
      <c r="E73" s="1" t="s">
        <v>206</v>
      </c>
      <c r="F73" s="1" t="n">
        <v>3</v>
      </c>
    </row>
    <row r="74" customFormat="false" ht="14.25" hidden="false" customHeight="false" outlineLevel="0" collapsed="false">
      <c r="A74" s="1" t="n">
        <v>5</v>
      </c>
      <c r="B74" s="1" t="s">
        <v>92</v>
      </c>
      <c r="C74" s="1" t="s">
        <v>516</v>
      </c>
      <c r="E74" s="1" t="s">
        <v>155</v>
      </c>
      <c r="F74" s="1" t="n">
        <v>1</v>
      </c>
    </row>
    <row r="75" customFormat="false" ht="14.25" hidden="false" customHeight="false" outlineLevel="0" collapsed="false">
      <c r="A75" s="1" t="n">
        <v>5</v>
      </c>
      <c r="B75" s="1" t="s">
        <v>92</v>
      </c>
      <c r="C75" s="1" t="s">
        <v>105</v>
      </c>
      <c r="E75" s="1" t="s">
        <v>186</v>
      </c>
      <c r="F75" s="1" t="n">
        <v>1</v>
      </c>
    </row>
    <row r="76" customFormat="false" ht="14.25" hidden="false" customHeight="false" outlineLevel="0" collapsed="false">
      <c r="A76" s="1" t="n">
        <v>5</v>
      </c>
      <c r="B76" s="1" t="s">
        <v>92</v>
      </c>
      <c r="C76" s="1" t="s">
        <v>424</v>
      </c>
      <c r="D76" s="1" t="s">
        <v>164</v>
      </c>
      <c r="E76" s="1" t="s">
        <v>165</v>
      </c>
      <c r="F76" s="1" t="n">
        <v>5</v>
      </c>
    </row>
    <row r="77" customFormat="false" ht="14.25" hidden="false" customHeight="false" outlineLevel="0" collapsed="false">
      <c r="A77" s="1" t="n">
        <v>5</v>
      </c>
      <c r="B77" s="1" t="s">
        <v>92</v>
      </c>
      <c r="C77" s="1" t="s">
        <v>293</v>
      </c>
      <c r="D77" s="1" t="s">
        <v>517</v>
      </c>
      <c r="E77" s="1" t="s">
        <v>186</v>
      </c>
      <c r="F77" s="1" t="n">
        <v>1</v>
      </c>
    </row>
    <row r="78" customFormat="false" ht="14.25" hidden="false" customHeight="false" outlineLevel="0" collapsed="false">
      <c r="A78" s="1" t="n">
        <v>5</v>
      </c>
      <c r="B78" s="1" t="s">
        <v>92</v>
      </c>
      <c r="C78" s="1" t="s">
        <v>93</v>
      </c>
      <c r="D78" s="1" t="s">
        <v>132</v>
      </c>
      <c r="E78" s="1" t="s">
        <v>133</v>
      </c>
      <c r="F78" s="1" t="n">
        <v>1</v>
      </c>
    </row>
    <row r="79" customFormat="false" ht="14.25" hidden="false" customHeight="false" outlineLevel="0" collapsed="false">
      <c r="A79" s="1" t="n">
        <v>5</v>
      </c>
      <c r="B79" s="1" t="s">
        <v>92</v>
      </c>
      <c r="C79" s="1" t="s">
        <v>506</v>
      </c>
      <c r="E79" s="1" t="s">
        <v>206</v>
      </c>
      <c r="F79" s="1" t="n">
        <v>1</v>
      </c>
    </row>
    <row r="80" customFormat="false" ht="14.25" hidden="false" customHeight="false" outlineLevel="0" collapsed="false">
      <c r="A80" s="1" t="n">
        <v>5</v>
      </c>
      <c r="B80" s="1" t="s">
        <v>92</v>
      </c>
      <c r="C80" s="1" t="s">
        <v>179</v>
      </c>
      <c r="D80" s="1" t="s">
        <v>192</v>
      </c>
      <c r="E80" s="1" t="s">
        <v>193</v>
      </c>
      <c r="F80" s="1" t="n">
        <v>2</v>
      </c>
    </row>
    <row r="81" customFormat="false" ht="14.25" hidden="false" customHeight="false" outlineLevel="0" collapsed="false">
      <c r="A81" s="1" t="n">
        <v>5</v>
      </c>
      <c r="B81" s="1" t="s">
        <v>92</v>
      </c>
      <c r="C81" s="1" t="s">
        <v>512</v>
      </c>
      <c r="F81" s="1" t="n">
        <v>1</v>
      </c>
    </row>
    <row r="82" customFormat="false" ht="14.25" hidden="false" customHeight="false" outlineLevel="0" collapsed="false">
      <c r="A82" s="1" t="n">
        <v>6</v>
      </c>
      <c r="B82" s="1" t="s">
        <v>92</v>
      </c>
      <c r="C82" s="1" t="s">
        <v>252</v>
      </c>
      <c r="D82" s="1" t="s">
        <v>518</v>
      </c>
      <c r="E82" s="1" t="s">
        <v>254</v>
      </c>
      <c r="F82" s="1" t="n">
        <v>6</v>
      </c>
    </row>
    <row r="83" customFormat="false" ht="14.25" hidden="false" customHeight="false" outlineLevel="0" collapsed="false">
      <c r="A83" s="1" t="n">
        <v>6</v>
      </c>
      <c r="B83" s="1" t="s">
        <v>92</v>
      </c>
      <c r="C83" s="1" t="s">
        <v>236</v>
      </c>
      <c r="D83" s="1" t="s">
        <v>279</v>
      </c>
      <c r="E83" s="1" t="s">
        <v>156</v>
      </c>
      <c r="F83" s="1" t="n">
        <v>1</v>
      </c>
    </row>
    <row r="84" customFormat="false" ht="14.25" hidden="false" customHeight="false" outlineLevel="0" collapsed="false">
      <c r="A84" s="1" t="n">
        <v>6</v>
      </c>
      <c r="B84" s="1" t="s">
        <v>92</v>
      </c>
      <c r="C84" s="1" t="s">
        <v>424</v>
      </c>
      <c r="E84" s="1" t="s">
        <v>210</v>
      </c>
      <c r="F84" s="1" t="n">
        <v>3</v>
      </c>
    </row>
    <row r="85" customFormat="false" ht="14.25" hidden="false" customHeight="false" outlineLevel="0" collapsed="false">
      <c r="A85" s="1" t="n">
        <v>6</v>
      </c>
      <c r="B85" s="1" t="s">
        <v>92</v>
      </c>
      <c r="C85" s="1" t="s">
        <v>117</v>
      </c>
      <c r="E85" s="1" t="s">
        <v>167</v>
      </c>
      <c r="F85" s="1" t="n">
        <v>1</v>
      </c>
    </row>
    <row r="86" customFormat="false" ht="14.25" hidden="false" customHeight="false" outlineLevel="0" collapsed="false">
      <c r="A86" s="1" t="n">
        <v>6</v>
      </c>
      <c r="B86" s="1" t="s">
        <v>92</v>
      </c>
      <c r="C86" s="1" t="s">
        <v>354</v>
      </c>
      <c r="D86" s="1" t="s">
        <v>319</v>
      </c>
      <c r="E86" s="1" t="s">
        <v>206</v>
      </c>
      <c r="F86" s="1" t="n">
        <v>3</v>
      </c>
    </row>
    <row r="87" customFormat="false" ht="14.25" hidden="false" customHeight="false" outlineLevel="0" collapsed="false">
      <c r="A87" s="1" t="n">
        <v>6</v>
      </c>
      <c r="B87" s="1" t="s">
        <v>92</v>
      </c>
      <c r="C87" s="1" t="s">
        <v>443</v>
      </c>
      <c r="D87" s="1" t="s">
        <v>511</v>
      </c>
      <c r="E87" s="1" t="s">
        <v>139</v>
      </c>
      <c r="F87" s="1" t="n">
        <v>1</v>
      </c>
    </row>
    <row r="88" customFormat="false" ht="14.25" hidden="false" customHeight="false" outlineLevel="0" collapsed="false">
      <c r="A88" s="1" t="n">
        <v>6</v>
      </c>
      <c r="B88" s="1" t="s">
        <v>92</v>
      </c>
      <c r="C88" s="1" t="s">
        <v>366</v>
      </c>
      <c r="D88" s="1" t="s">
        <v>132</v>
      </c>
      <c r="E88" s="1" t="s">
        <v>133</v>
      </c>
      <c r="F88" s="1" t="n">
        <v>1</v>
      </c>
    </row>
    <row r="89" customFormat="false" ht="14.25" hidden="false" customHeight="false" outlineLevel="0" collapsed="false">
      <c r="A89" s="1" t="n">
        <v>6</v>
      </c>
      <c r="B89" s="1" t="s">
        <v>92</v>
      </c>
      <c r="C89" s="1" t="s">
        <v>179</v>
      </c>
      <c r="D89" s="1" t="s">
        <v>164</v>
      </c>
      <c r="E89" s="1" t="s">
        <v>165</v>
      </c>
      <c r="F89" s="1" t="n">
        <v>1</v>
      </c>
    </row>
    <row r="90" customFormat="false" ht="14.25" hidden="false" customHeight="false" outlineLevel="0" collapsed="false">
      <c r="A90" s="1" t="n">
        <v>6</v>
      </c>
      <c r="B90" s="1" t="s">
        <v>92</v>
      </c>
      <c r="C90" s="1" t="s">
        <v>366</v>
      </c>
      <c r="D90" s="1" t="s">
        <v>164</v>
      </c>
      <c r="E90" s="1" t="s">
        <v>165</v>
      </c>
      <c r="F90" s="1" t="n">
        <v>1</v>
      </c>
    </row>
    <row r="91" customFormat="false" ht="14.25" hidden="false" customHeight="false" outlineLevel="0" collapsed="false">
      <c r="A91" s="1" t="n">
        <v>6</v>
      </c>
      <c r="B91" s="1" t="s">
        <v>92</v>
      </c>
      <c r="C91" s="1" t="s">
        <v>370</v>
      </c>
      <c r="E91" s="1" t="s">
        <v>160</v>
      </c>
      <c r="F91" s="1" t="n">
        <v>1</v>
      </c>
    </row>
    <row r="92" customFormat="false" ht="14.25" hidden="false" customHeight="false" outlineLevel="0" collapsed="false">
      <c r="A92" s="1" t="n">
        <v>6</v>
      </c>
      <c r="B92" s="1" t="s">
        <v>92</v>
      </c>
      <c r="C92" s="1" t="s">
        <v>241</v>
      </c>
      <c r="D92" s="1" t="s">
        <v>205</v>
      </c>
      <c r="E92" s="1" t="s">
        <v>206</v>
      </c>
      <c r="F92" s="1" t="n">
        <v>1</v>
      </c>
    </row>
    <row r="93" customFormat="false" ht="14.25" hidden="false" customHeight="false" outlineLevel="0" collapsed="false">
      <c r="A93" s="1" t="n">
        <v>7</v>
      </c>
      <c r="B93" s="1" t="s">
        <v>101</v>
      </c>
      <c r="C93" s="1" t="s">
        <v>398</v>
      </c>
      <c r="D93" s="1" t="s">
        <v>225</v>
      </c>
      <c r="E93" s="1" t="s">
        <v>186</v>
      </c>
      <c r="F93" s="1" t="n">
        <v>1</v>
      </c>
    </row>
    <row r="94" customFormat="false" ht="14.25" hidden="false" customHeight="false" outlineLevel="0" collapsed="false">
      <c r="A94" s="1" t="n">
        <v>7</v>
      </c>
      <c r="B94" s="1" t="s">
        <v>101</v>
      </c>
      <c r="C94" s="1" t="s">
        <v>490</v>
      </c>
      <c r="E94" s="1" t="s">
        <v>145</v>
      </c>
      <c r="F94" s="1" t="n">
        <v>1</v>
      </c>
    </row>
    <row r="95" customFormat="false" ht="14.25" hidden="false" customHeight="false" outlineLevel="0" collapsed="false">
      <c r="A95" s="1" t="n">
        <v>7</v>
      </c>
      <c r="B95" s="1" t="s">
        <v>101</v>
      </c>
      <c r="C95" s="1" t="s">
        <v>326</v>
      </c>
      <c r="E95" s="1" t="s">
        <v>210</v>
      </c>
      <c r="F95" s="1" t="n">
        <v>1</v>
      </c>
    </row>
    <row r="96" customFormat="false" ht="14.25" hidden="false" customHeight="false" outlineLevel="0" collapsed="false">
      <c r="A96" s="1" t="n">
        <v>7</v>
      </c>
      <c r="B96" s="1" t="s">
        <v>101</v>
      </c>
      <c r="C96" s="1" t="s">
        <v>236</v>
      </c>
      <c r="D96" s="1" t="s">
        <v>519</v>
      </c>
      <c r="E96" s="1" t="s">
        <v>468</v>
      </c>
      <c r="F96" s="1" t="n">
        <v>1</v>
      </c>
    </row>
    <row r="97" customFormat="false" ht="14.25" hidden="false" customHeight="false" outlineLevel="0" collapsed="false">
      <c r="A97" s="1" t="n">
        <v>7</v>
      </c>
      <c r="B97" s="1" t="s">
        <v>101</v>
      </c>
      <c r="C97" s="1" t="s">
        <v>337</v>
      </c>
      <c r="D97" s="1" t="s">
        <v>319</v>
      </c>
      <c r="E97" s="1" t="s">
        <v>206</v>
      </c>
      <c r="F97" s="1" t="n">
        <v>2</v>
      </c>
    </row>
    <row r="98" customFormat="false" ht="14.25" hidden="false" customHeight="false" outlineLevel="0" collapsed="false">
      <c r="A98" s="1" t="n">
        <v>7</v>
      </c>
      <c r="B98" s="1" t="s">
        <v>101</v>
      </c>
      <c r="C98" s="1" t="s">
        <v>398</v>
      </c>
      <c r="F98" s="1" t="n">
        <v>2</v>
      </c>
    </row>
    <row r="99" customFormat="false" ht="14.25" hidden="false" customHeight="false" outlineLevel="0" collapsed="false">
      <c r="A99" s="1" t="n">
        <v>7</v>
      </c>
      <c r="B99" s="1" t="s">
        <v>101</v>
      </c>
      <c r="C99" s="1" t="s">
        <v>93</v>
      </c>
      <c r="E99" s="1" t="s">
        <v>142</v>
      </c>
      <c r="F99" s="1" t="n">
        <v>1</v>
      </c>
    </row>
    <row r="100" customFormat="false" ht="14.25" hidden="false" customHeight="false" outlineLevel="0" collapsed="false">
      <c r="A100" s="1" t="n">
        <v>7</v>
      </c>
      <c r="B100" s="1" t="s">
        <v>101</v>
      </c>
      <c r="C100" s="1" t="s">
        <v>520</v>
      </c>
      <c r="D100" s="1" t="s">
        <v>345</v>
      </c>
      <c r="E100" s="1" t="s">
        <v>174</v>
      </c>
      <c r="F100" s="1" t="n">
        <v>1</v>
      </c>
    </row>
    <row r="101" customFormat="false" ht="14.25" hidden="false" customHeight="false" outlineLevel="0" collapsed="false">
      <c r="A101" s="1" t="n">
        <v>7</v>
      </c>
      <c r="B101" s="1" t="s">
        <v>101</v>
      </c>
      <c r="C101" s="1" t="s">
        <v>386</v>
      </c>
      <c r="E101" s="1" t="s">
        <v>151</v>
      </c>
      <c r="F101" s="1" t="n">
        <v>4</v>
      </c>
    </row>
    <row r="102" customFormat="false" ht="14.25" hidden="false" customHeight="false" outlineLevel="0" collapsed="false">
      <c r="A102" s="1" t="n">
        <v>7</v>
      </c>
      <c r="B102" s="1" t="s">
        <v>101</v>
      </c>
      <c r="C102" s="1" t="s">
        <v>93</v>
      </c>
      <c r="D102" s="1" t="s">
        <v>391</v>
      </c>
      <c r="E102" s="1" t="s">
        <v>145</v>
      </c>
      <c r="F102" s="1" t="n">
        <v>2</v>
      </c>
    </row>
    <row r="103" customFormat="false" ht="14.25" hidden="false" customHeight="false" outlineLevel="0" collapsed="false">
      <c r="A103" s="1" t="n">
        <v>7</v>
      </c>
      <c r="B103" s="1" t="s">
        <v>101</v>
      </c>
      <c r="C103" s="1" t="s">
        <v>204</v>
      </c>
      <c r="D103" s="1" t="s">
        <v>205</v>
      </c>
      <c r="E103" s="1" t="s">
        <v>206</v>
      </c>
      <c r="F103" s="1" t="n">
        <v>1</v>
      </c>
    </row>
    <row r="104" customFormat="false" ht="14.25" hidden="false" customHeight="false" outlineLevel="0" collapsed="false">
      <c r="A104" s="1" t="n">
        <v>7</v>
      </c>
      <c r="B104" s="1" t="s">
        <v>101</v>
      </c>
      <c r="C104" s="1" t="s">
        <v>329</v>
      </c>
      <c r="E104" s="1" t="s">
        <v>145</v>
      </c>
      <c r="F104" s="1" t="n">
        <v>1</v>
      </c>
    </row>
    <row r="105" customFormat="false" ht="14.25" hidden="false" customHeight="false" outlineLevel="0" collapsed="false">
      <c r="A105" s="1" t="n">
        <v>7</v>
      </c>
      <c r="B105" s="1" t="s">
        <v>101</v>
      </c>
      <c r="C105" s="1" t="s">
        <v>521</v>
      </c>
      <c r="E105" s="1" t="s">
        <v>145</v>
      </c>
      <c r="F105" s="1" t="n">
        <v>1</v>
      </c>
    </row>
    <row r="106" customFormat="false" ht="14.25" hidden="false" customHeight="false" outlineLevel="0" collapsed="false">
      <c r="A106" s="1" t="n">
        <v>7</v>
      </c>
      <c r="B106" s="1" t="s">
        <v>101</v>
      </c>
      <c r="C106" s="1" t="s">
        <v>473</v>
      </c>
      <c r="D106" s="1" t="s">
        <v>422</v>
      </c>
      <c r="E106" s="1" t="s">
        <v>210</v>
      </c>
      <c r="F106" s="1" t="n">
        <v>1</v>
      </c>
    </row>
    <row r="107" customFormat="false" ht="14.25" hidden="false" customHeight="false" outlineLevel="0" collapsed="false">
      <c r="A107" s="1" t="n">
        <v>7</v>
      </c>
      <c r="B107" s="1" t="s">
        <v>101</v>
      </c>
      <c r="C107" s="1" t="s">
        <v>252</v>
      </c>
      <c r="D107" s="1" t="s">
        <v>518</v>
      </c>
      <c r="E107" s="1" t="s">
        <v>254</v>
      </c>
      <c r="F107" s="1" t="n">
        <v>1</v>
      </c>
    </row>
    <row r="108" customFormat="false" ht="14.25" hidden="false" customHeight="false" outlineLevel="0" collapsed="false">
      <c r="A108" s="1" t="n">
        <v>7</v>
      </c>
      <c r="B108" s="1" t="s">
        <v>101</v>
      </c>
      <c r="C108" s="1" t="s">
        <v>93</v>
      </c>
      <c r="D108" s="1" t="s">
        <v>192</v>
      </c>
      <c r="E108" s="1" t="s">
        <v>193</v>
      </c>
      <c r="F108" s="1" t="n">
        <v>1</v>
      </c>
    </row>
    <row r="109" customFormat="false" ht="14.25" hidden="false" customHeight="false" outlineLevel="0" collapsed="false">
      <c r="A109" s="1" t="n">
        <v>7</v>
      </c>
      <c r="B109" s="1" t="s">
        <v>101</v>
      </c>
      <c r="C109" s="1" t="s">
        <v>398</v>
      </c>
      <c r="D109" s="1" t="s">
        <v>171</v>
      </c>
      <c r="E109" s="1" t="s">
        <v>142</v>
      </c>
      <c r="F109" s="1" t="n">
        <v>2</v>
      </c>
    </row>
    <row r="110" customFormat="false" ht="14.25" hidden="false" customHeight="false" outlineLevel="0" collapsed="false">
      <c r="A110" s="1" t="n">
        <v>8</v>
      </c>
      <c r="B110" s="1" t="s">
        <v>101</v>
      </c>
      <c r="C110" s="1" t="s">
        <v>379</v>
      </c>
      <c r="F110" s="1" t="n">
        <v>1</v>
      </c>
    </row>
    <row r="111" customFormat="false" ht="14.25" hidden="false" customHeight="false" outlineLevel="0" collapsed="false">
      <c r="A111" s="1" t="n">
        <v>8</v>
      </c>
      <c r="B111" s="1" t="s">
        <v>101</v>
      </c>
      <c r="C111" s="1" t="s">
        <v>329</v>
      </c>
      <c r="D111" s="1" t="s">
        <v>159</v>
      </c>
      <c r="E111" s="1" t="s">
        <v>160</v>
      </c>
      <c r="F111" s="1" t="n">
        <v>1</v>
      </c>
    </row>
    <row r="112" customFormat="false" ht="14.25" hidden="false" customHeight="false" outlineLevel="0" collapsed="false">
      <c r="A112" s="1" t="n">
        <v>8</v>
      </c>
      <c r="B112" s="1" t="s">
        <v>101</v>
      </c>
      <c r="C112" s="1" t="s">
        <v>78</v>
      </c>
      <c r="D112" s="1" t="s">
        <v>407</v>
      </c>
      <c r="E112" s="1" t="s">
        <v>408</v>
      </c>
      <c r="F112" s="1" t="n">
        <v>1</v>
      </c>
    </row>
    <row r="113" customFormat="false" ht="14.25" hidden="false" customHeight="false" outlineLevel="0" collapsed="false">
      <c r="A113" s="1" t="n">
        <v>8</v>
      </c>
      <c r="B113" s="1" t="s">
        <v>101</v>
      </c>
      <c r="C113" s="1" t="s">
        <v>398</v>
      </c>
      <c r="F113" s="1" t="n">
        <v>1</v>
      </c>
    </row>
    <row r="114" customFormat="false" ht="14.25" hidden="false" customHeight="false" outlineLevel="0" collapsed="false">
      <c r="A114" s="1" t="n">
        <v>8</v>
      </c>
      <c r="B114" s="1" t="s">
        <v>101</v>
      </c>
      <c r="C114" s="1" t="s">
        <v>337</v>
      </c>
      <c r="D114" s="1" t="s">
        <v>319</v>
      </c>
      <c r="E114" s="1" t="s">
        <v>206</v>
      </c>
      <c r="F114" s="1" t="n">
        <v>5</v>
      </c>
    </row>
    <row r="115" customFormat="false" ht="14.25" hidden="false" customHeight="false" outlineLevel="0" collapsed="false">
      <c r="A115" s="1" t="n">
        <v>8</v>
      </c>
      <c r="B115" s="1" t="s">
        <v>101</v>
      </c>
      <c r="C115" s="1" t="s">
        <v>105</v>
      </c>
      <c r="E115" s="1" t="s">
        <v>186</v>
      </c>
      <c r="F115" s="1" t="n">
        <v>1</v>
      </c>
    </row>
    <row r="116" customFormat="false" ht="14.25" hidden="false" customHeight="false" outlineLevel="0" collapsed="false">
      <c r="A116" s="1" t="n">
        <v>8</v>
      </c>
      <c r="B116" s="1" t="s">
        <v>101</v>
      </c>
      <c r="C116" s="1" t="s">
        <v>236</v>
      </c>
      <c r="E116" s="1" t="s">
        <v>210</v>
      </c>
      <c r="F116" s="1" t="n">
        <v>1</v>
      </c>
    </row>
    <row r="117" customFormat="false" ht="14.25" hidden="false" customHeight="false" outlineLevel="0" collapsed="false">
      <c r="A117" s="1" t="n">
        <v>8</v>
      </c>
      <c r="B117" s="1" t="s">
        <v>101</v>
      </c>
      <c r="C117" s="1" t="s">
        <v>522</v>
      </c>
      <c r="E117" s="1" t="s">
        <v>139</v>
      </c>
      <c r="F117" s="1" t="n">
        <v>1</v>
      </c>
    </row>
    <row r="118" customFormat="false" ht="14.25" hidden="false" customHeight="false" outlineLevel="0" collapsed="false">
      <c r="A118" s="1" t="n">
        <v>8</v>
      </c>
      <c r="B118" s="1" t="s">
        <v>101</v>
      </c>
      <c r="C118" s="1" t="s">
        <v>329</v>
      </c>
      <c r="D118" s="1" t="s">
        <v>345</v>
      </c>
      <c r="E118" s="1" t="s">
        <v>174</v>
      </c>
      <c r="F118" s="1" t="n">
        <v>1</v>
      </c>
    </row>
    <row r="119" customFormat="false" ht="14.25" hidden="false" customHeight="false" outlineLevel="0" collapsed="false">
      <c r="A119" s="1" t="n">
        <v>8</v>
      </c>
      <c r="B119" s="1" t="s">
        <v>101</v>
      </c>
      <c r="C119" s="1" t="s">
        <v>179</v>
      </c>
      <c r="E119" s="1" t="s">
        <v>336</v>
      </c>
      <c r="F119" s="1" t="n">
        <v>1</v>
      </c>
    </row>
    <row r="120" customFormat="false" ht="14.25" hidden="false" customHeight="false" outlineLevel="0" collapsed="false">
      <c r="A120" s="1" t="n">
        <v>8</v>
      </c>
      <c r="B120" s="1" t="s">
        <v>101</v>
      </c>
      <c r="C120" s="1" t="s">
        <v>153</v>
      </c>
      <c r="D120" s="1" t="s">
        <v>159</v>
      </c>
      <c r="E120" s="1" t="s">
        <v>160</v>
      </c>
      <c r="F120" s="1" t="n">
        <v>1</v>
      </c>
    </row>
    <row r="121" customFormat="false" ht="14.25" hidden="false" customHeight="false" outlineLevel="0" collapsed="false">
      <c r="A121" s="1" t="n">
        <v>8</v>
      </c>
      <c r="B121" s="1" t="s">
        <v>101</v>
      </c>
      <c r="C121" s="1" t="s">
        <v>379</v>
      </c>
      <c r="F121" s="1" t="n">
        <v>1</v>
      </c>
    </row>
    <row r="122" customFormat="false" ht="14.25" hidden="false" customHeight="false" outlineLevel="0" collapsed="false">
      <c r="A122" s="1" t="n">
        <v>8</v>
      </c>
      <c r="B122" s="1" t="s">
        <v>101</v>
      </c>
      <c r="C122" s="1" t="s">
        <v>473</v>
      </c>
      <c r="E122" s="1" t="s">
        <v>210</v>
      </c>
      <c r="F122" s="1" t="n">
        <v>2</v>
      </c>
    </row>
  </sheetData>
  <autoFilter ref="A1:F12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2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C10" activeCellId="0" sqref="C10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" min="1" style="31" width="15.78"/>
    <col collapsed="false" customWidth="true" hidden="false" outlineLevel="0" max="2" min="2" style="31" width="25.66"/>
    <col collapsed="false" customWidth="false" hidden="false" outlineLevel="0" max="3" min="3" style="31" width="11.55"/>
    <col collapsed="false" customWidth="true" hidden="false" outlineLevel="0" max="4" min="4" style="32" width="44.45"/>
  </cols>
  <sheetData>
    <row r="1" customFormat="false" ht="15.65" hidden="false" customHeight="false" outlineLevel="0" collapsed="false">
      <c r="A1" s="33" t="s">
        <v>112</v>
      </c>
      <c r="B1" s="33" t="s">
        <v>111</v>
      </c>
      <c r="C1" s="33" t="s">
        <v>113</v>
      </c>
      <c r="D1" s="34" t="s">
        <v>523</v>
      </c>
    </row>
    <row r="2" customFormat="false" ht="15.65" hidden="false" customHeight="false" outlineLevel="0" collapsed="false">
      <c r="A2" s="35" t="s">
        <v>219</v>
      </c>
      <c r="B2" s="36" t="s">
        <v>373</v>
      </c>
      <c r="C2" s="35" t="s">
        <v>120</v>
      </c>
      <c r="D2" s="37" t="s">
        <v>524</v>
      </c>
    </row>
    <row r="3" customFormat="false" ht="15.65" hidden="false" customHeight="false" outlineLevel="0" collapsed="false">
      <c r="A3" s="35"/>
      <c r="B3" s="36" t="s">
        <v>218</v>
      </c>
      <c r="C3" s="35" t="s">
        <v>138</v>
      </c>
      <c r="D3" s="37" t="s">
        <v>525</v>
      </c>
    </row>
    <row r="4" customFormat="false" ht="15.65" hidden="false" customHeight="false" outlineLevel="0" collapsed="false">
      <c r="A4" s="35" t="s">
        <v>145</v>
      </c>
      <c r="B4" s="36" t="s">
        <v>344</v>
      </c>
      <c r="C4" s="35" t="s">
        <v>120</v>
      </c>
      <c r="D4" s="37" t="s">
        <v>343</v>
      </c>
    </row>
    <row r="5" customFormat="false" ht="15.65" hidden="false" customHeight="false" outlineLevel="0" collapsed="false">
      <c r="A5" s="35"/>
      <c r="B5" s="36" t="s">
        <v>278</v>
      </c>
      <c r="C5" s="35" t="s">
        <v>197</v>
      </c>
      <c r="D5" s="37" t="s">
        <v>93</v>
      </c>
    </row>
    <row r="6" customFormat="false" ht="15.65" hidden="false" customHeight="false" outlineLevel="0" collapsed="false">
      <c r="A6" s="35"/>
      <c r="B6" s="36" t="s">
        <v>421</v>
      </c>
      <c r="C6" s="35" t="s">
        <v>120</v>
      </c>
      <c r="D6" s="37" t="s">
        <v>420</v>
      </c>
    </row>
    <row r="7" customFormat="false" ht="15.65" hidden="false" customHeight="false" outlineLevel="0" collapsed="false">
      <c r="A7" s="35"/>
      <c r="B7" s="36" t="s">
        <v>395</v>
      </c>
      <c r="C7" s="35" t="s">
        <v>138</v>
      </c>
      <c r="D7" s="37" t="s">
        <v>526</v>
      </c>
    </row>
    <row r="8" customFormat="false" ht="30.1" hidden="false" customHeight="false" outlineLevel="0" collapsed="false">
      <c r="A8" s="35"/>
      <c r="B8" s="36" t="s">
        <v>189</v>
      </c>
      <c r="C8" s="35" t="s">
        <v>120</v>
      </c>
      <c r="D8" s="37" t="s">
        <v>527</v>
      </c>
    </row>
    <row r="9" customFormat="false" ht="15.65" hidden="false" customHeight="false" outlineLevel="0" collapsed="false">
      <c r="A9" s="35" t="s">
        <v>222</v>
      </c>
      <c r="B9" s="36" t="s">
        <v>221</v>
      </c>
      <c r="C9" s="35" t="s">
        <v>138</v>
      </c>
      <c r="D9" s="37" t="s">
        <v>220</v>
      </c>
    </row>
    <row r="10" customFormat="false" ht="15.65" hidden="false" customHeight="false" outlineLevel="0" collapsed="false">
      <c r="A10" s="35" t="s">
        <v>157</v>
      </c>
      <c r="B10" s="36" t="s">
        <v>183</v>
      </c>
      <c r="C10" s="35" t="s">
        <v>138</v>
      </c>
      <c r="D10" s="37" t="s">
        <v>528</v>
      </c>
    </row>
    <row r="11" customFormat="false" ht="15.65" hidden="false" customHeight="false" outlineLevel="0" collapsed="false">
      <c r="A11" s="35"/>
      <c r="B11" s="36" t="s">
        <v>290</v>
      </c>
      <c r="C11" s="35" t="s">
        <v>138</v>
      </c>
      <c r="D11" s="37" t="s">
        <v>529</v>
      </c>
    </row>
    <row r="12" customFormat="false" ht="15.65" hidden="false" customHeight="false" outlineLevel="0" collapsed="false">
      <c r="A12" s="35"/>
      <c r="B12" s="36" t="s">
        <v>304</v>
      </c>
      <c r="C12" s="35" t="s">
        <v>120</v>
      </c>
      <c r="D12" s="37" t="s">
        <v>97</v>
      </c>
    </row>
    <row r="13" customFormat="false" ht="15.65" hidden="false" customHeight="false" outlineLevel="0" collapsed="false">
      <c r="A13" s="35"/>
      <c r="B13" s="36" t="s">
        <v>287</v>
      </c>
      <c r="C13" s="35" t="s">
        <v>138</v>
      </c>
      <c r="D13" s="37" t="s">
        <v>530</v>
      </c>
    </row>
    <row r="14" customFormat="false" ht="15.65" hidden="false" customHeight="false" outlineLevel="0" collapsed="false">
      <c r="A14" s="35" t="s">
        <v>206</v>
      </c>
      <c r="B14" s="36" t="s">
        <v>416</v>
      </c>
      <c r="C14" s="35" t="s">
        <v>197</v>
      </c>
      <c r="D14" s="37" t="s">
        <v>415</v>
      </c>
    </row>
    <row r="15" customFormat="false" ht="33.75" hidden="false" customHeight="true" outlineLevel="0" collapsed="false">
      <c r="A15" s="35"/>
      <c r="B15" s="36" t="s">
        <v>205</v>
      </c>
      <c r="C15" s="35" t="s">
        <v>138</v>
      </c>
      <c r="D15" s="37" t="s">
        <v>531</v>
      </c>
    </row>
    <row r="16" customFormat="false" ht="15.65" hidden="false" customHeight="false" outlineLevel="0" collapsed="false">
      <c r="A16" s="35"/>
      <c r="B16" s="36" t="s">
        <v>323</v>
      </c>
      <c r="C16" s="35" t="s">
        <v>324</v>
      </c>
      <c r="D16" s="37" t="s">
        <v>532</v>
      </c>
    </row>
    <row r="17" customFormat="false" ht="15.65" hidden="false" customHeight="false" outlineLevel="0" collapsed="false">
      <c r="A17" s="35"/>
      <c r="B17" s="36" t="s">
        <v>242</v>
      </c>
      <c r="C17" s="35" t="s">
        <v>138</v>
      </c>
      <c r="D17" s="37" t="s">
        <v>241</v>
      </c>
    </row>
    <row r="18" customFormat="false" ht="15.65" hidden="false" customHeight="false" outlineLevel="0" collapsed="false">
      <c r="A18" s="35"/>
      <c r="B18" s="36" t="s">
        <v>417</v>
      </c>
      <c r="C18" s="35" t="s">
        <v>197</v>
      </c>
      <c r="D18" s="37" t="s">
        <v>415</v>
      </c>
    </row>
    <row r="19" customFormat="false" ht="30.1" hidden="false" customHeight="false" outlineLevel="0" collapsed="false">
      <c r="A19" s="35"/>
      <c r="B19" s="36" t="s">
        <v>319</v>
      </c>
      <c r="C19" s="35" t="s">
        <v>120</v>
      </c>
      <c r="D19" s="37" t="s">
        <v>533</v>
      </c>
    </row>
    <row r="20" customFormat="false" ht="15.65" hidden="false" customHeight="false" outlineLevel="0" collapsed="false">
      <c r="A20" s="35" t="s">
        <v>254</v>
      </c>
      <c r="B20" s="36" t="s">
        <v>457</v>
      </c>
      <c r="C20" s="35" t="s">
        <v>120</v>
      </c>
      <c r="D20" s="37" t="s">
        <v>454</v>
      </c>
    </row>
    <row r="21" customFormat="false" ht="15.65" hidden="false" customHeight="false" outlineLevel="0" collapsed="false">
      <c r="A21" s="35"/>
      <c r="B21" s="36" t="s">
        <v>253</v>
      </c>
      <c r="C21" s="35" t="s">
        <v>138</v>
      </c>
      <c r="D21" s="37" t="s">
        <v>252</v>
      </c>
    </row>
    <row r="22" customFormat="false" ht="15.65" hidden="false" customHeight="false" outlineLevel="0" collapsed="false">
      <c r="A22" s="35"/>
      <c r="B22" s="36" t="s">
        <v>256</v>
      </c>
      <c r="C22" s="35" t="s">
        <v>120</v>
      </c>
      <c r="D22" s="37" t="s">
        <v>534</v>
      </c>
    </row>
    <row r="23" customFormat="false" ht="15.65" hidden="false" customHeight="false" outlineLevel="0" collapsed="false">
      <c r="A23" s="35" t="s">
        <v>462</v>
      </c>
      <c r="B23" s="36" t="s">
        <v>461</v>
      </c>
      <c r="C23" s="35" t="s">
        <v>120</v>
      </c>
      <c r="D23" s="37" t="s">
        <v>535</v>
      </c>
    </row>
    <row r="24" customFormat="false" ht="15.65" hidden="false" customHeight="false" outlineLevel="0" collapsed="false">
      <c r="A24" s="35" t="s">
        <v>283</v>
      </c>
      <c r="B24" s="36" t="s">
        <v>282</v>
      </c>
      <c r="C24" s="35" t="s">
        <v>120</v>
      </c>
      <c r="D24" s="37" t="s">
        <v>536</v>
      </c>
    </row>
    <row r="25" customFormat="false" ht="15.65" hidden="false" customHeight="false" outlineLevel="0" collapsed="false">
      <c r="A25" s="35"/>
      <c r="B25" s="36" t="s">
        <v>368</v>
      </c>
      <c r="C25" s="35" t="s">
        <v>197</v>
      </c>
      <c r="D25" s="37" t="s">
        <v>367</v>
      </c>
    </row>
    <row r="26" customFormat="false" ht="15.65" hidden="false" customHeight="false" outlineLevel="0" collapsed="false">
      <c r="A26" s="35" t="s">
        <v>400</v>
      </c>
      <c r="B26" s="36" t="s">
        <v>399</v>
      </c>
      <c r="C26" s="35" t="s">
        <v>187</v>
      </c>
      <c r="D26" s="37" t="s">
        <v>398</v>
      </c>
    </row>
    <row r="27" customFormat="false" ht="15.65" hidden="false" customHeight="false" outlineLevel="0" collapsed="false">
      <c r="A27" s="35" t="s">
        <v>313</v>
      </c>
      <c r="B27" s="36" t="s">
        <v>351</v>
      </c>
      <c r="C27" s="35" t="s">
        <v>120</v>
      </c>
      <c r="D27" s="37" t="s">
        <v>537</v>
      </c>
    </row>
    <row r="28" customFormat="false" ht="15.65" hidden="false" customHeight="false" outlineLevel="0" collapsed="false">
      <c r="A28" s="35"/>
      <c r="B28" s="36" t="s">
        <v>312</v>
      </c>
      <c r="C28" s="35" t="s">
        <v>120</v>
      </c>
      <c r="D28" s="37" t="s">
        <v>308</v>
      </c>
    </row>
    <row r="29" customFormat="false" ht="15.65" hidden="false" customHeight="false" outlineLevel="0" collapsed="false">
      <c r="A29" s="35" t="s">
        <v>468</v>
      </c>
      <c r="B29" s="36" t="s">
        <v>467</v>
      </c>
      <c r="C29" s="35" t="s">
        <v>138</v>
      </c>
      <c r="D29" s="37" t="s">
        <v>466</v>
      </c>
    </row>
    <row r="30" customFormat="false" ht="15.65" hidden="false" customHeight="false" outlineLevel="0" collapsed="false">
      <c r="A30" s="35" t="s">
        <v>167</v>
      </c>
      <c r="B30" s="36" t="s">
        <v>166</v>
      </c>
      <c r="C30" s="35" t="s">
        <v>120</v>
      </c>
      <c r="D30" s="37" t="s">
        <v>163</v>
      </c>
    </row>
    <row r="31" customFormat="false" ht="15.65" hidden="false" customHeight="false" outlineLevel="0" collapsed="false">
      <c r="A31" s="35"/>
      <c r="B31" s="36" t="s">
        <v>429</v>
      </c>
      <c r="C31" s="35" t="s">
        <v>138</v>
      </c>
      <c r="D31" s="37" t="s">
        <v>428</v>
      </c>
    </row>
    <row r="32" customFormat="false" ht="15.65" hidden="false" customHeight="false" outlineLevel="0" collapsed="false">
      <c r="A32" s="35"/>
      <c r="B32" s="36" t="s">
        <v>277</v>
      </c>
      <c r="C32" s="35" t="s">
        <v>138</v>
      </c>
      <c r="D32" s="37" t="s">
        <v>538</v>
      </c>
    </row>
    <row r="33" customFormat="false" ht="15.65" hidden="false" customHeight="false" outlineLevel="0" collapsed="false">
      <c r="A33" s="35" t="s">
        <v>275</v>
      </c>
      <c r="B33" s="36" t="s">
        <v>310</v>
      </c>
      <c r="C33" s="35" t="s">
        <v>138</v>
      </c>
      <c r="D33" s="37" t="s">
        <v>539</v>
      </c>
    </row>
    <row r="34" customFormat="false" ht="30.1" hidden="false" customHeight="false" outlineLevel="0" collapsed="false">
      <c r="A34" s="35"/>
      <c r="B34" s="36" t="s">
        <v>274</v>
      </c>
      <c r="C34" s="35" t="s">
        <v>120</v>
      </c>
      <c r="D34" s="37" t="s">
        <v>540</v>
      </c>
    </row>
    <row r="35" customFormat="false" ht="15.65" hidden="false" customHeight="false" outlineLevel="0" collapsed="false">
      <c r="A35" s="35"/>
      <c r="B35" s="36" t="s">
        <v>309</v>
      </c>
      <c r="C35" s="35" t="s">
        <v>187</v>
      </c>
      <c r="D35" s="37" t="s">
        <v>308</v>
      </c>
    </row>
    <row r="36" customFormat="false" ht="15.65" hidden="false" customHeight="false" outlineLevel="0" collapsed="false">
      <c r="A36" s="35"/>
      <c r="B36" s="36" t="s">
        <v>315</v>
      </c>
      <c r="C36" s="35" t="s">
        <v>138</v>
      </c>
      <c r="D36" s="37" t="s">
        <v>314</v>
      </c>
    </row>
    <row r="37" customFormat="false" ht="15.65" hidden="false" customHeight="false" outlineLevel="0" collapsed="false">
      <c r="A37" s="35"/>
      <c r="B37" s="36" t="s">
        <v>311</v>
      </c>
      <c r="C37" s="35" t="s">
        <v>120</v>
      </c>
      <c r="D37" s="37" t="s">
        <v>308</v>
      </c>
    </row>
    <row r="38" customFormat="false" ht="15.65" hidden="false" customHeight="false" outlineLevel="0" collapsed="false">
      <c r="A38" s="35" t="s">
        <v>299</v>
      </c>
      <c r="B38" s="36" t="s">
        <v>298</v>
      </c>
      <c r="C38" s="35" t="s">
        <v>138</v>
      </c>
      <c r="D38" s="37" t="s">
        <v>541</v>
      </c>
    </row>
    <row r="39" customFormat="false" ht="15.65" hidden="false" customHeight="false" outlineLevel="0" collapsed="false">
      <c r="A39" s="35" t="s">
        <v>328</v>
      </c>
      <c r="B39" s="36" t="s">
        <v>327</v>
      </c>
      <c r="C39" s="35" t="s">
        <v>120</v>
      </c>
      <c r="D39" s="37" t="s">
        <v>326</v>
      </c>
    </row>
    <row r="40" customFormat="false" ht="15.65" hidden="false" customHeight="false" outlineLevel="0" collapsed="false">
      <c r="A40" s="35" t="s">
        <v>214</v>
      </c>
      <c r="B40" s="36" t="s">
        <v>213</v>
      </c>
      <c r="C40" s="35" t="s">
        <v>138</v>
      </c>
      <c r="D40" s="37" t="s">
        <v>211</v>
      </c>
    </row>
    <row r="41" customFormat="false" ht="15.65" hidden="false" customHeight="false" outlineLevel="0" collapsed="false">
      <c r="A41" s="35" t="s">
        <v>133</v>
      </c>
      <c r="B41" s="36" t="s">
        <v>273</v>
      </c>
      <c r="C41" s="35" t="s">
        <v>138</v>
      </c>
      <c r="D41" s="37" t="s">
        <v>542</v>
      </c>
    </row>
    <row r="42" customFormat="false" ht="30.1" hidden="false" customHeight="false" outlineLevel="0" collapsed="false">
      <c r="A42" s="35"/>
      <c r="B42" s="36" t="s">
        <v>132</v>
      </c>
      <c r="C42" s="35" t="s">
        <v>120</v>
      </c>
      <c r="D42" s="37" t="s">
        <v>543</v>
      </c>
    </row>
    <row r="43" customFormat="false" ht="15.65" hidden="false" customHeight="false" outlineLevel="0" collapsed="false">
      <c r="A43" s="35" t="s">
        <v>119</v>
      </c>
      <c r="B43" s="36" t="s">
        <v>118</v>
      </c>
      <c r="C43" s="35" t="s">
        <v>120</v>
      </c>
      <c r="D43" s="37" t="s">
        <v>117</v>
      </c>
    </row>
    <row r="44" customFormat="false" ht="15.65" hidden="false" customHeight="false" outlineLevel="0" collapsed="false">
      <c r="A44" s="35"/>
      <c r="B44" s="36" t="s">
        <v>248</v>
      </c>
      <c r="C44" s="35" t="s">
        <v>120</v>
      </c>
      <c r="D44" s="37" t="s">
        <v>544</v>
      </c>
    </row>
    <row r="45" customFormat="false" ht="15.65" hidden="false" customHeight="false" outlineLevel="0" collapsed="false">
      <c r="A45" s="35"/>
      <c r="B45" s="36" t="s">
        <v>246</v>
      </c>
      <c r="C45" s="35" t="s">
        <v>138</v>
      </c>
      <c r="D45" s="37" t="s">
        <v>244</v>
      </c>
    </row>
    <row r="46" customFormat="false" ht="15.65" hidden="false" customHeight="false" outlineLevel="0" collapsed="false">
      <c r="A46" s="33" t="s">
        <v>112</v>
      </c>
      <c r="B46" s="33" t="s">
        <v>111</v>
      </c>
      <c r="C46" s="33" t="s">
        <v>113</v>
      </c>
      <c r="D46" s="34" t="s">
        <v>523</v>
      </c>
    </row>
    <row r="47" customFormat="false" ht="15.65" hidden="false" customHeight="false" outlineLevel="0" collapsed="false">
      <c r="A47" s="35" t="s">
        <v>139</v>
      </c>
      <c r="B47" s="36" t="s">
        <v>378</v>
      </c>
      <c r="C47" s="35" t="s">
        <v>120</v>
      </c>
      <c r="D47" s="37" t="s">
        <v>377</v>
      </c>
    </row>
    <row r="48" customFormat="false" ht="15.65" hidden="false" customHeight="false" outlineLevel="0" collapsed="false">
      <c r="A48" s="35"/>
      <c r="B48" s="36" t="s">
        <v>339</v>
      </c>
      <c r="C48" s="35" t="s">
        <v>120</v>
      </c>
      <c r="D48" s="37" t="s">
        <v>338</v>
      </c>
    </row>
    <row r="49" customFormat="false" ht="15.65" hidden="false" customHeight="false" outlineLevel="0" collapsed="false">
      <c r="A49" s="35"/>
      <c r="B49" s="36" t="s">
        <v>321</v>
      </c>
      <c r="C49" s="35" t="s">
        <v>120</v>
      </c>
      <c r="D49" s="37" t="s">
        <v>545</v>
      </c>
    </row>
    <row r="50" customFormat="false" ht="15.65" hidden="false" customHeight="false" outlineLevel="0" collapsed="false">
      <c r="A50" s="35" t="s">
        <v>151</v>
      </c>
      <c r="B50" s="36" t="s">
        <v>480</v>
      </c>
      <c r="C50" s="35" t="s">
        <v>197</v>
      </c>
      <c r="D50" s="37" t="s">
        <v>479</v>
      </c>
    </row>
    <row r="51" customFormat="false" ht="15.65" hidden="false" customHeight="false" outlineLevel="0" collapsed="false">
      <c r="A51" s="35"/>
      <c r="B51" s="36" t="s">
        <v>477</v>
      </c>
      <c r="C51" s="35" t="s">
        <v>120</v>
      </c>
      <c r="D51" s="37" t="s">
        <v>473</v>
      </c>
    </row>
    <row r="52" customFormat="false" ht="15.65" hidden="false" customHeight="false" outlineLevel="0" collapsed="false">
      <c r="A52" s="35"/>
      <c r="B52" s="36" t="s">
        <v>150</v>
      </c>
      <c r="C52" s="35" t="s">
        <v>120</v>
      </c>
      <c r="D52" s="37" t="s">
        <v>146</v>
      </c>
    </row>
    <row r="53" customFormat="false" ht="15.65" hidden="false" customHeight="false" outlineLevel="0" collapsed="false">
      <c r="A53" s="35" t="s">
        <v>203</v>
      </c>
      <c r="B53" s="36" t="s">
        <v>216</v>
      </c>
      <c r="C53" s="35" t="s">
        <v>138</v>
      </c>
      <c r="D53" s="37" t="s">
        <v>546</v>
      </c>
    </row>
    <row r="54" customFormat="false" ht="15.65" hidden="false" customHeight="false" outlineLevel="0" collapsed="false">
      <c r="A54" s="35"/>
      <c r="B54" s="36" t="s">
        <v>215</v>
      </c>
      <c r="C54" s="35" t="s">
        <v>138</v>
      </c>
      <c r="D54" s="37" t="s">
        <v>211</v>
      </c>
    </row>
    <row r="55" customFormat="false" ht="15.65" hidden="false" customHeight="false" outlineLevel="0" collapsed="false">
      <c r="A55" s="35"/>
      <c r="B55" s="36" t="s">
        <v>202</v>
      </c>
      <c r="C55" s="35" t="s">
        <v>120</v>
      </c>
      <c r="D55" s="37" t="s">
        <v>547</v>
      </c>
    </row>
    <row r="56" customFormat="false" ht="15.65" hidden="false" customHeight="false" outlineLevel="0" collapsed="false">
      <c r="A56" s="35" t="s">
        <v>200</v>
      </c>
      <c r="B56" s="36" t="s">
        <v>199</v>
      </c>
      <c r="C56" s="35" t="s">
        <v>120</v>
      </c>
      <c r="D56" s="37" t="s">
        <v>548</v>
      </c>
    </row>
    <row r="57" customFormat="false" ht="15.65" hidden="false" customHeight="false" outlineLevel="0" collapsed="false">
      <c r="A57" s="35" t="s">
        <v>289</v>
      </c>
      <c r="B57" s="36" t="s">
        <v>394</v>
      </c>
      <c r="C57" s="35" t="s">
        <v>120</v>
      </c>
      <c r="D57" s="37" t="s">
        <v>389</v>
      </c>
    </row>
    <row r="58" customFormat="false" ht="15.65" hidden="false" customHeight="false" outlineLevel="0" collapsed="false">
      <c r="A58" s="35"/>
      <c r="B58" s="36" t="s">
        <v>288</v>
      </c>
      <c r="C58" s="35" t="s">
        <v>120</v>
      </c>
      <c r="D58" s="37" t="s">
        <v>549</v>
      </c>
    </row>
    <row r="59" customFormat="false" ht="15.65" hidden="false" customHeight="false" outlineLevel="0" collapsed="false">
      <c r="A59" s="35"/>
      <c r="B59" s="36" t="s">
        <v>472</v>
      </c>
      <c r="C59" s="35" t="s">
        <v>120</v>
      </c>
      <c r="D59" s="37" t="s">
        <v>471</v>
      </c>
    </row>
    <row r="60" customFormat="false" ht="15.65" hidden="false" customHeight="false" outlineLevel="0" collapsed="false">
      <c r="A60" s="35" t="s">
        <v>137</v>
      </c>
      <c r="B60" s="36" t="s">
        <v>136</v>
      </c>
      <c r="C60" s="35" t="s">
        <v>138</v>
      </c>
      <c r="D60" s="37" t="s">
        <v>117</v>
      </c>
    </row>
    <row r="61" customFormat="false" ht="15.65" hidden="false" customHeight="false" outlineLevel="0" collapsed="false">
      <c r="A61" s="35"/>
      <c r="B61" s="36" t="s">
        <v>413</v>
      </c>
      <c r="C61" s="35" t="s">
        <v>120</v>
      </c>
      <c r="D61" s="37" t="s">
        <v>412</v>
      </c>
    </row>
    <row r="62" customFormat="false" ht="15.65" hidden="false" customHeight="false" outlineLevel="0" collapsed="false">
      <c r="A62" s="35" t="s">
        <v>126</v>
      </c>
      <c r="B62" s="36" t="s">
        <v>140</v>
      </c>
      <c r="C62" s="35" t="s">
        <v>120</v>
      </c>
      <c r="D62" s="37" t="s">
        <v>550</v>
      </c>
    </row>
    <row r="63" customFormat="false" ht="15.65" hidden="false" customHeight="false" outlineLevel="0" collapsed="false">
      <c r="A63" s="35"/>
      <c r="B63" s="36" t="s">
        <v>267</v>
      </c>
      <c r="C63" s="35" t="s">
        <v>268</v>
      </c>
      <c r="D63" s="37" t="s">
        <v>266</v>
      </c>
    </row>
    <row r="64" customFormat="false" ht="15.65" hidden="false" customHeight="false" outlineLevel="0" collapsed="false">
      <c r="A64" s="35"/>
      <c r="B64" s="36" t="s">
        <v>125</v>
      </c>
      <c r="C64" s="35" t="s">
        <v>120</v>
      </c>
      <c r="D64" s="37" t="s">
        <v>551</v>
      </c>
    </row>
    <row r="65" customFormat="false" ht="15.65" hidden="false" customHeight="false" outlineLevel="0" collapsed="false">
      <c r="A65" s="35"/>
      <c r="B65" s="36" t="s">
        <v>393</v>
      </c>
      <c r="C65" s="35" t="s">
        <v>120</v>
      </c>
      <c r="D65" s="37" t="s">
        <v>389</v>
      </c>
    </row>
    <row r="66" customFormat="false" ht="28.5" hidden="false" customHeight="true" outlineLevel="0" collapsed="false">
      <c r="A66" s="35" t="s">
        <v>193</v>
      </c>
      <c r="B66" s="36" t="s">
        <v>192</v>
      </c>
      <c r="C66" s="35" t="s">
        <v>120</v>
      </c>
      <c r="D66" s="37" t="s">
        <v>552</v>
      </c>
    </row>
    <row r="67" customFormat="false" ht="15.65" hidden="false" customHeight="false" outlineLevel="0" collapsed="false">
      <c r="A67" s="35" t="s">
        <v>160</v>
      </c>
      <c r="B67" s="36" t="s">
        <v>217</v>
      </c>
      <c r="C67" s="35" t="s">
        <v>197</v>
      </c>
      <c r="D67" s="37" t="s">
        <v>553</v>
      </c>
    </row>
    <row r="68" customFormat="false" ht="15.65" hidden="false" customHeight="false" outlineLevel="0" collapsed="false">
      <c r="A68" s="35"/>
      <c r="B68" s="36" t="s">
        <v>159</v>
      </c>
      <c r="C68" s="35" t="s">
        <v>120</v>
      </c>
      <c r="D68" s="37" t="s">
        <v>153</v>
      </c>
    </row>
    <row r="69" customFormat="false" ht="15.65" hidden="false" customHeight="false" outlineLevel="0" collapsed="false">
      <c r="A69" s="35" t="s">
        <v>155</v>
      </c>
      <c r="B69" s="36" t="s">
        <v>245</v>
      </c>
      <c r="C69" s="35" t="s">
        <v>120</v>
      </c>
      <c r="D69" s="37" t="s">
        <v>244</v>
      </c>
    </row>
    <row r="70" customFormat="false" ht="30.1" hidden="false" customHeight="false" outlineLevel="0" collapsed="false">
      <c r="A70" s="35"/>
      <c r="B70" s="36" t="s">
        <v>154</v>
      </c>
      <c r="C70" s="35" t="s">
        <v>120</v>
      </c>
      <c r="D70" s="37" t="s">
        <v>554</v>
      </c>
    </row>
    <row r="71" customFormat="false" ht="15.65" hidden="false" customHeight="false" outlineLevel="0" collapsed="false">
      <c r="A71" s="35" t="s">
        <v>174</v>
      </c>
      <c r="B71" s="36" t="s">
        <v>345</v>
      </c>
      <c r="C71" s="35" t="s">
        <v>138</v>
      </c>
      <c r="D71" s="37" t="s">
        <v>555</v>
      </c>
    </row>
    <row r="72" customFormat="false" ht="15.65" hidden="false" customHeight="false" outlineLevel="0" collapsed="false">
      <c r="A72" s="35"/>
      <c r="B72" s="36" t="s">
        <v>391</v>
      </c>
      <c r="C72" s="35" t="s">
        <v>120</v>
      </c>
      <c r="D72" s="37" t="s">
        <v>389</v>
      </c>
    </row>
    <row r="73" customFormat="false" ht="15.65" hidden="false" customHeight="false" outlineLevel="0" collapsed="false">
      <c r="A73" s="35"/>
      <c r="B73" s="36" t="s">
        <v>425</v>
      </c>
      <c r="C73" s="35" t="s">
        <v>120</v>
      </c>
      <c r="D73" s="37" t="s">
        <v>424</v>
      </c>
    </row>
    <row r="74" customFormat="false" ht="15.65" hidden="false" customHeight="false" outlineLevel="0" collapsed="false">
      <c r="A74" s="35"/>
      <c r="B74" s="36" t="s">
        <v>356</v>
      </c>
      <c r="C74" s="35" t="s">
        <v>120</v>
      </c>
      <c r="D74" s="37" t="s">
        <v>355</v>
      </c>
    </row>
    <row r="75" customFormat="false" ht="15.65" hidden="false" customHeight="false" outlineLevel="0" collapsed="false">
      <c r="A75" s="35"/>
      <c r="B75" s="36" t="s">
        <v>173</v>
      </c>
      <c r="C75" s="35" t="s">
        <v>138</v>
      </c>
      <c r="D75" s="37" t="s">
        <v>556</v>
      </c>
    </row>
    <row r="76" customFormat="false" ht="15.65" hidden="false" customHeight="false" outlineLevel="0" collapsed="false">
      <c r="A76" s="35" t="s">
        <v>261</v>
      </c>
      <c r="B76" s="36" t="s">
        <v>260</v>
      </c>
      <c r="C76" s="35" t="s">
        <v>138</v>
      </c>
      <c r="D76" s="37" t="s">
        <v>557</v>
      </c>
    </row>
    <row r="77" customFormat="false" ht="15.65" hidden="false" customHeight="false" outlineLevel="0" collapsed="false">
      <c r="A77" s="35"/>
      <c r="B77" s="36" t="s">
        <v>387</v>
      </c>
      <c r="C77" s="35" t="s">
        <v>120</v>
      </c>
      <c r="D77" s="37" t="s">
        <v>386</v>
      </c>
    </row>
    <row r="78" customFormat="false" ht="15.65" hidden="false" customHeight="false" outlineLevel="0" collapsed="false">
      <c r="A78" s="35" t="s">
        <v>165</v>
      </c>
      <c r="B78" s="36" t="s">
        <v>164</v>
      </c>
      <c r="C78" s="35" t="s">
        <v>120</v>
      </c>
      <c r="D78" s="37" t="s">
        <v>558</v>
      </c>
    </row>
    <row r="79" customFormat="false" ht="15.65" hidden="false" customHeight="false" outlineLevel="0" collapsed="false">
      <c r="A79" s="35"/>
      <c r="B79" s="36" t="s">
        <v>426</v>
      </c>
      <c r="C79" s="35" t="s">
        <v>120</v>
      </c>
      <c r="D79" s="37" t="s">
        <v>424</v>
      </c>
    </row>
    <row r="80" customFormat="false" ht="15.65" hidden="false" customHeight="false" outlineLevel="0" collapsed="false">
      <c r="A80" s="35"/>
      <c r="B80" s="36" t="s">
        <v>451</v>
      </c>
      <c r="C80" s="35" t="s">
        <v>138</v>
      </c>
      <c r="D80" s="37" t="s">
        <v>449</v>
      </c>
    </row>
    <row r="81" customFormat="false" ht="15.65" hidden="false" customHeight="false" outlineLevel="0" collapsed="false">
      <c r="A81" s="35"/>
      <c r="B81" s="36" t="s">
        <v>276</v>
      </c>
      <c r="C81" s="35" t="s">
        <v>120</v>
      </c>
      <c r="D81" s="37" t="s">
        <v>559</v>
      </c>
    </row>
    <row r="82" customFormat="false" ht="30.1" hidden="false" customHeight="false" outlineLevel="0" collapsed="false">
      <c r="A82" s="35" t="s">
        <v>350</v>
      </c>
      <c r="B82" s="36" t="s">
        <v>349</v>
      </c>
      <c r="C82" s="35" t="s">
        <v>138</v>
      </c>
      <c r="D82" s="37" t="s">
        <v>560</v>
      </c>
    </row>
    <row r="83" customFormat="false" ht="15.65" hidden="false" customHeight="false" outlineLevel="0" collapsed="false">
      <c r="A83" s="35"/>
      <c r="B83" s="36" t="s">
        <v>352</v>
      </c>
      <c r="C83" s="35" t="s">
        <v>138</v>
      </c>
      <c r="D83" s="37" t="s">
        <v>343</v>
      </c>
    </row>
    <row r="84" customFormat="false" ht="15.65" hidden="false" customHeight="false" outlineLevel="0" collapsed="false">
      <c r="A84" s="35" t="s">
        <v>347</v>
      </c>
      <c r="B84" s="36" t="s">
        <v>346</v>
      </c>
      <c r="C84" s="35" t="s">
        <v>120</v>
      </c>
      <c r="D84" s="37" t="s">
        <v>343</v>
      </c>
    </row>
    <row r="85" customFormat="false" ht="15.65" hidden="false" customHeight="false" outlineLevel="0" collapsed="false">
      <c r="A85" s="35" t="s">
        <v>456</v>
      </c>
      <c r="B85" s="36" t="s">
        <v>455</v>
      </c>
      <c r="C85" s="35" t="s">
        <v>138</v>
      </c>
      <c r="D85" s="37" t="s">
        <v>454</v>
      </c>
    </row>
    <row r="86" customFormat="false" ht="15.65" hidden="false" customHeight="false" outlineLevel="0" collapsed="false">
      <c r="A86" s="35"/>
      <c r="B86" s="36" t="s">
        <v>458</v>
      </c>
      <c r="C86" s="35" t="s">
        <v>120</v>
      </c>
      <c r="D86" s="37" t="s">
        <v>454</v>
      </c>
    </row>
    <row r="87" customFormat="false" ht="15.65" hidden="false" customHeight="false" outlineLevel="0" collapsed="false">
      <c r="A87" s="35" t="s">
        <v>182</v>
      </c>
      <c r="B87" s="36" t="s">
        <v>392</v>
      </c>
      <c r="C87" s="35" t="s">
        <v>138</v>
      </c>
      <c r="D87" s="37" t="s">
        <v>561</v>
      </c>
    </row>
    <row r="88" customFormat="false" ht="15.65" hidden="false" customHeight="false" outlineLevel="0" collapsed="false">
      <c r="A88" s="35"/>
      <c r="B88" s="36" t="s">
        <v>251</v>
      </c>
      <c r="C88" s="35" t="s">
        <v>138</v>
      </c>
      <c r="D88" s="37" t="s">
        <v>250</v>
      </c>
    </row>
    <row r="89" customFormat="false" ht="15.65" hidden="false" customHeight="false" outlineLevel="0" collapsed="false">
      <c r="A89" s="35"/>
      <c r="B89" s="36" t="s">
        <v>487</v>
      </c>
      <c r="C89" s="35" t="s">
        <v>138</v>
      </c>
      <c r="D89" s="37" t="s">
        <v>485</v>
      </c>
    </row>
    <row r="90" customFormat="false" ht="15.65" hidden="false" customHeight="false" outlineLevel="0" collapsed="false">
      <c r="A90" s="35"/>
      <c r="B90" s="36" t="s">
        <v>486</v>
      </c>
      <c r="C90" s="35" t="s">
        <v>138</v>
      </c>
      <c r="D90" s="37" t="s">
        <v>485</v>
      </c>
    </row>
    <row r="91" customFormat="false" ht="15.65" hidden="false" customHeight="false" outlineLevel="0" collapsed="false">
      <c r="A91" s="35"/>
      <c r="B91" s="36" t="s">
        <v>484</v>
      </c>
      <c r="C91" s="35" t="s">
        <v>120</v>
      </c>
      <c r="D91" s="37" t="s">
        <v>562</v>
      </c>
    </row>
    <row r="92" customFormat="false" ht="15.65" hidden="false" customHeight="false" outlineLevel="0" collapsed="false">
      <c r="A92" s="33" t="s">
        <v>112</v>
      </c>
      <c r="B92" s="33" t="s">
        <v>111</v>
      </c>
      <c r="C92" s="33" t="s">
        <v>113</v>
      </c>
      <c r="D92" s="34" t="s">
        <v>523</v>
      </c>
    </row>
    <row r="93" customFormat="false" ht="15.65" hidden="false" customHeight="false" outlineLevel="0" collapsed="false">
      <c r="A93" s="35" t="s">
        <v>182</v>
      </c>
      <c r="B93" s="36" t="s">
        <v>488</v>
      </c>
      <c r="C93" s="35" t="s">
        <v>138</v>
      </c>
      <c r="D93" s="37" t="s">
        <v>485</v>
      </c>
    </row>
    <row r="94" customFormat="false" ht="15.65" hidden="false" customHeight="false" outlineLevel="0" collapsed="false">
      <c r="A94" s="35"/>
      <c r="B94" s="36" t="s">
        <v>196</v>
      </c>
      <c r="C94" s="35" t="s">
        <v>120</v>
      </c>
      <c r="D94" s="37" t="s">
        <v>191</v>
      </c>
    </row>
    <row r="95" customFormat="false" ht="15.65" hidden="false" customHeight="false" outlineLevel="0" collapsed="false">
      <c r="A95" s="35"/>
      <c r="B95" s="36" t="s">
        <v>181</v>
      </c>
      <c r="C95" s="35" t="s">
        <v>197</v>
      </c>
      <c r="D95" s="37" t="s">
        <v>563</v>
      </c>
    </row>
    <row r="96" customFormat="false" ht="15.65" hidden="false" customHeight="false" outlineLevel="0" collapsed="false">
      <c r="A96" s="35" t="s">
        <v>239</v>
      </c>
      <c r="B96" s="36" t="s">
        <v>238</v>
      </c>
      <c r="C96" s="35" t="s">
        <v>120</v>
      </c>
      <c r="D96" s="37" t="s">
        <v>564</v>
      </c>
    </row>
    <row r="97" customFormat="false" ht="15.65" hidden="false" customHeight="false" outlineLevel="0" collapsed="false">
      <c r="A97" s="35" t="s">
        <v>440</v>
      </c>
      <c r="B97" s="36" t="s">
        <v>439</v>
      </c>
      <c r="C97" s="35" t="s">
        <v>138</v>
      </c>
      <c r="D97" s="37" t="s">
        <v>438</v>
      </c>
    </row>
    <row r="98" customFormat="false" ht="15.65" hidden="false" customHeight="false" outlineLevel="0" collapsed="false">
      <c r="A98" s="35" t="s">
        <v>148</v>
      </c>
      <c r="B98" s="36" t="s">
        <v>147</v>
      </c>
      <c r="C98" s="35" t="s">
        <v>138</v>
      </c>
      <c r="D98" s="37" t="s">
        <v>565</v>
      </c>
    </row>
    <row r="99" customFormat="false" ht="15.65" hidden="false" customHeight="false" outlineLevel="0" collapsed="false">
      <c r="A99" s="35" t="s">
        <v>233</v>
      </c>
      <c r="B99" s="36" t="s">
        <v>232</v>
      </c>
      <c r="C99" s="35" t="s">
        <v>138</v>
      </c>
      <c r="D99" s="37" t="s">
        <v>566</v>
      </c>
    </row>
    <row r="100" customFormat="false" ht="15.65" hidden="false" customHeight="false" outlineLevel="0" collapsed="false">
      <c r="A100" s="35" t="s">
        <v>156</v>
      </c>
      <c r="B100" s="36" t="s">
        <v>294</v>
      </c>
      <c r="C100" s="35" t="s">
        <v>120</v>
      </c>
      <c r="D100" s="37" t="s">
        <v>293</v>
      </c>
    </row>
    <row r="101" customFormat="false" ht="15.65" hidden="false" customHeight="false" outlineLevel="0" collapsed="false">
      <c r="A101" s="35"/>
      <c r="B101" s="36" t="s">
        <v>464</v>
      </c>
      <c r="C101" s="35" t="s">
        <v>120</v>
      </c>
      <c r="D101" s="37" t="s">
        <v>463</v>
      </c>
    </row>
    <row r="102" customFormat="false" ht="15.65" hidden="false" customHeight="false" outlineLevel="0" collapsed="false">
      <c r="A102" s="35"/>
      <c r="B102" s="36" t="s">
        <v>240</v>
      </c>
      <c r="C102" s="35" t="s">
        <v>120</v>
      </c>
      <c r="D102" s="37" t="s">
        <v>236</v>
      </c>
    </row>
    <row r="103" customFormat="false" ht="15.65" hidden="false" customHeight="false" outlineLevel="0" collapsed="false">
      <c r="A103" s="35"/>
      <c r="B103" s="36" t="s">
        <v>170</v>
      </c>
      <c r="C103" s="35" t="s">
        <v>120</v>
      </c>
      <c r="D103" s="37" t="s">
        <v>567</v>
      </c>
    </row>
    <row r="104" customFormat="false" ht="15.65" hidden="false" customHeight="false" outlineLevel="0" collapsed="false">
      <c r="A104" s="35"/>
      <c r="B104" s="36" t="s">
        <v>295</v>
      </c>
      <c r="C104" s="35" t="s">
        <v>120</v>
      </c>
      <c r="D104" s="37" t="s">
        <v>568</v>
      </c>
    </row>
    <row r="105" customFormat="false" ht="15.65" hidden="false" customHeight="false" outlineLevel="0" collapsed="false">
      <c r="A105" s="35"/>
      <c r="B105" s="36" t="s">
        <v>194</v>
      </c>
      <c r="C105" s="35" t="s">
        <v>120</v>
      </c>
      <c r="D105" s="37" t="s">
        <v>569</v>
      </c>
    </row>
    <row r="106" customFormat="false" ht="30.1" hidden="false" customHeight="false" outlineLevel="0" collapsed="false">
      <c r="A106" s="35"/>
      <c r="B106" s="36" t="s">
        <v>235</v>
      </c>
      <c r="C106" s="35" t="s">
        <v>138</v>
      </c>
      <c r="D106" s="37" t="s">
        <v>570</v>
      </c>
    </row>
    <row r="107" customFormat="false" ht="15.65" hidden="false" customHeight="false" outlineLevel="0" collapsed="false">
      <c r="A107" s="35"/>
      <c r="B107" s="36" t="s">
        <v>404</v>
      </c>
      <c r="C107" s="35" t="s">
        <v>120</v>
      </c>
      <c r="D107" s="37" t="s">
        <v>402</v>
      </c>
    </row>
    <row r="108" customFormat="false" ht="15.65" hidden="false" customHeight="false" outlineLevel="0" collapsed="false">
      <c r="A108" s="35"/>
      <c r="B108" s="36" t="s">
        <v>403</v>
      </c>
      <c r="C108" s="35" t="s">
        <v>120</v>
      </c>
      <c r="D108" s="37" t="s">
        <v>571</v>
      </c>
    </row>
    <row r="109" customFormat="false" ht="15.65" hidden="false" customHeight="false" outlineLevel="0" collapsed="false">
      <c r="A109" s="35"/>
      <c r="B109" s="36" t="s">
        <v>371</v>
      </c>
      <c r="C109" s="35" t="s">
        <v>138</v>
      </c>
      <c r="D109" s="37" t="s">
        <v>370</v>
      </c>
    </row>
    <row r="110" customFormat="false" ht="15.65" hidden="false" customHeight="false" outlineLevel="0" collapsed="false">
      <c r="A110" s="35"/>
      <c r="B110" s="36" t="s">
        <v>279</v>
      </c>
      <c r="C110" s="35" t="s">
        <v>120</v>
      </c>
      <c r="D110" s="37" t="s">
        <v>572</v>
      </c>
    </row>
    <row r="111" customFormat="false" ht="15.65" hidden="false" customHeight="false" outlineLevel="0" collapsed="false">
      <c r="A111" s="35"/>
      <c r="B111" s="36" t="s">
        <v>341</v>
      </c>
      <c r="C111" s="35" t="s">
        <v>138</v>
      </c>
      <c r="D111" s="37" t="s">
        <v>573</v>
      </c>
    </row>
    <row r="112" customFormat="false" ht="15.65" hidden="false" customHeight="false" outlineLevel="0" collapsed="false">
      <c r="A112" s="35"/>
      <c r="B112" s="36" t="s">
        <v>272</v>
      </c>
      <c r="C112" s="35" t="s">
        <v>120</v>
      </c>
      <c r="D112" s="37" t="s">
        <v>574</v>
      </c>
    </row>
    <row r="113" customFormat="false" ht="15.65" hidden="false" customHeight="false" outlineLevel="0" collapsed="false">
      <c r="A113" s="35"/>
      <c r="B113" s="36" t="s">
        <v>195</v>
      </c>
      <c r="C113" s="35" t="s">
        <v>120</v>
      </c>
      <c r="D113" s="37" t="s">
        <v>191</v>
      </c>
    </row>
    <row r="114" customFormat="false" ht="15.65" hidden="false" customHeight="false" outlineLevel="0" collapsed="false">
      <c r="A114" s="35" t="s">
        <v>124</v>
      </c>
      <c r="B114" s="36" t="s">
        <v>123</v>
      </c>
      <c r="C114" s="35" t="s">
        <v>120</v>
      </c>
      <c r="D114" s="37" t="s">
        <v>117</v>
      </c>
    </row>
    <row r="115" customFormat="false" ht="15.65" hidden="false" customHeight="false" outlineLevel="0" collapsed="false">
      <c r="A115" s="35"/>
      <c r="B115" s="36" t="s">
        <v>212</v>
      </c>
      <c r="C115" s="35" t="s">
        <v>138</v>
      </c>
      <c r="D115" s="37" t="s">
        <v>575</v>
      </c>
    </row>
    <row r="116" customFormat="false" ht="15.65" hidden="false" customHeight="false" outlineLevel="0" collapsed="false">
      <c r="A116" s="35" t="s">
        <v>142</v>
      </c>
      <c r="B116" s="36" t="s">
        <v>171</v>
      </c>
      <c r="C116" s="35" t="s">
        <v>138</v>
      </c>
      <c r="D116" s="37" t="s">
        <v>576</v>
      </c>
    </row>
    <row r="117" customFormat="false" ht="15.65" hidden="false" customHeight="false" outlineLevel="0" collapsed="false">
      <c r="A117" s="35" t="s">
        <v>210</v>
      </c>
      <c r="B117" s="36" t="s">
        <v>422</v>
      </c>
      <c r="C117" s="35" t="s">
        <v>120</v>
      </c>
      <c r="D117" s="37" t="s">
        <v>577</v>
      </c>
    </row>
    <row r="118" customFormat="false" ht="15.65" hidden="false" customHeight="false" outlineLevel="0" collapsed="false">
      <c r="A118" s="35"/>
      <c r="B118" s="36" t="s">
        <v>348</v>
      </c>
      <c r="C118" s="35" t="s">
        <v>138</v>
      </c>
      <c r="D118" s="37" t="s">
        <v>578</v>
      </c>
    </row>
    <row r="119" customFormat="false" ht="15.65" hidden="false" customHeight="false" outlineLevel="0" collapsed="false">
      <c r="A119" s="35"/>
      <c r="B119" s="36" t="s">
        <v>470</v>
      </c>
      <c r="C119" s="35" t="s">
        <v>120</v>
      </c>
      <c r="D119" s="37" t="s">
        <v>469</v>
      </c>
    </row>
    <row r="120" customFormat="false" ht="15.65" hidden="false" customHeight="false" outlineLevel="0" collapsed="false">
      <c r="A120" s="35"/>
      <c r="B120" s="36" t="s">
        <v>300</v>
      </c>
      <c r="C120" s="35" t="s">
        <v>120</v>
      </c>
      <c r="D120" s="37" t="s">
        <v>579</v>
      </c>
    </row>
    <row r="121" customFormat="false" ht="15.65" hidden="false" customHeight="false" outlineLevel="0" collapsed="false">
      <c r="A121" s="35"/>
      <c r="B121" s="36" t="s">
        <v>475</v>
      </c>
      <c r="C121" s="35" t="s">
        <v>120</v>
      </c>
      <c r="D121" s="37" t="s">
        <v>473</v>
      </c>
    </row>
    <row r="122" customFormat="false" ht="15.65" hidden="false" customHeight="false" outlineLevel="0" collapsed="false">
      <c r="A122" s="35"/>
      <c r="B122" s="36" t="s">
        <v>376</v>
      </c>
      <c r="C122" s="35" t="s">
        <v>120</v>
      </c>
      <c r="D122" s="37" t="s">
        <v>580</v>
      </c>
    </row>
    <row r="123" customFormat="false" ht="15.65" hidden="false" customHeight="false" outlineLevel="0" collapsed="false">
      <c r="A123" s="35"/>
      <c r="B123" s="36" t="s">
        <v>297</v>
      </c>
      <c r="C123" s="35" t="s">
        <v>197</v>
      </c>
      <c r="D123" s="37" t="s">
        <v>581</v>
      </c>
    </row>
    <row r="124" customFormat="false" ht="15.65" hidden="false" customHeight="false" outlineLevel="0" collapsed="false">
      <c r="A124" s="35"/>
      <c r="B124" s="36" t="s">
        <v>406</v>
      </c>
      <c r="C124" s="35" t="s">
        <v>138</v>
      </c>
      <c r="D124" s="37" t="s">
        <v>402</v>
      </c>
    </row>
    <row r="125" customFormat="false" ht="30.1" hidden="false" customHeight="false" outlineLevel="0" collapsed="false">
      <c r="A125" s="35" t="s">
        <v>186</v>
      </c>
      <c r="B125" s="36" t="s">
        <v>225</v>
      </c>
      <c r="C125" s="35" t="s">
        <v>138</v>
      </c>
      <c r="D125" s="37" t="s">
        <v>582</v>
      </c>
    </row>
    <row r="126" customFormat="false" ht="15.65" hidden="false" customHeight="false" outlineLevel="0" collapsed="false">
      <c r="A126" s="35"/>
      <c r="B126" s="36" t="s">
        <v>380</v>
      </c>
      <c r="C126" s="35" t="s">
        <v>197</v>
      </c>
      <c r="D126" s="37" t="s">
        <v>379</v>
      </c>
    </row>
    <row r="127" customFormat="false" ht="15.65" hidden="false" customHeight="false" outlineLevel="0" collapsed="false">
      <c r="A127" s="35"/>
      <c r="B127" s="36" t="s">
        <v>185</v>
      </c>
      <c r="C127" s="35" t="s">
        <v>187</v>
      </c>
      <c r="D127" s="37" t="s">
        <v>105</v>
      </c>
    </row>
    <row r="128" customFormat="false" ht="15.65" hidden="false" customHeight="false" outlineLevel="0" collapsed="false">
      <c r="A128" s="35" t="s">
        <v>447</v>
      </c>
      <c r="B128" s="36" t="s">
        <v>450</v>
      </c>
      <c r="C128" s="35" t="s">
        <v>197</v>
      </c>
      <c r="D128" s="37" t="s">
        <v>449</v>
      </c>
    </row>
    <row r="129" customFormat="false" ht="15.65" hidden="false" customHeight="false" outlineLevel="0" collapsed="false">
      <c r="A129" s="35"/>
      <c r="B129" s="36" t="s">
        <v>446</v>
      </c>
      <c r="C129" s="35" t="s">
        <v>120</v>
      </c>
      <c r="D129" s="37" t="s">
        <v>583</v>
      </c>
    </row>
    <row r="130" customFormat="false" ht="15.65" hidden="false" customHeight="false" outlineLevel="0" collapsed="false">
      <c r="A130" s="35" t="s">
        <v>169</v>
      </c>
      <c r="B130" s="36" t="s">
        <v>168</v>
      </c>
      <c r="C130" s="35" t="s">
        <v>138</v>
      </c>
      <c r="D130" s="37" t="s">
        <v>584</v>
      </c>
    </row>
    <row r="131" customFormat="false" ht="15.65" hidden="false" customHeight="false" outlineLevel="0" collapsed="false">
      <c r="A131" s="35" t="s">
        <v>408</v>
      </c>
      <c r="B131" s="36" t="s">
        <v>407</v>
      </c>
      <c r="C131" s="35" t="s">
        <v>138</v>
      </c>
      <c r="D131" s="37" t="s">
        <v>78</v>
      </c>
    </row>
    <row r="132" customFormat="false" ht="15.65" hidden="false" customHeight="false" outlineLevel="0" collapsed="false">
      <c r="A132" s="35" t="s">
        <v>336</v>
      </c>
      <c r="B132" s="36" t="s">
        <v>335</v>
      </c>
      <c r="C132" s="35" t="s">
        <v>120</v>
      </c>
      <c r="D132" s="37" t="s">
        <v>334</v>
      </c>
    </row>
  </sheetData>
  <autoFilter ref="A1:D1597">
    <sortState ref="A2:D1597">
      <sortCondition ref="A2:A1597"/>
    </sortState>
  </autoFilter>
  <mergeCells count="31">
    <mergeCell ref="A2:A3"/>
    <mergeCell ref="A4:A8"/>
    <mergeCell ref="A10:A13"/>
    <mergeCell ref="A14:A19"/>
    <mergeCell ref="A20:A22"/>
    <mergeCell ref="A24:A25"/>
    <mergeCell ref="A27:A28"/>
    <mergeCell ref="A30:A32"/>
    <mergeCell ref="A33:A37"/>
    <mergeCell ref="A41:A42"/>
    <mergeCell ref="A43:A45"/>
    <mergeCell ref="A47:A49"/>
    <mergeCell ref="A50:A52"/>
    <mergeCell ref="A53:A55"/>
    <mergeCell ref="A57:A59"/>
    <mergeCell ref="A60:A61"/>
    <mergeCell ref="A62:A65"/>
    <mergeCell ref="A67:A68"/>
    <mergeCell ref="A69:A70"/>
    <mergeCell ref="A71:A75"/>
    <mergeCell ref="A76:A77"/>
    <mergeCell ref="A78:A81"/>
    <mergeCell ref="A82:A83"/>
    <mergeCell ref="A85:A86"/>
    <mergeCell ref="A87:A91"/>
    <mergeCell ref="A93:A95"/>
    <mergeCell ref="A100:A113"/>
    <mergeCell ref="A114:A115"/>
    <mergeCell ref="A117:A124"/>
    <mergeCell ref="A125:A127"/>
    <mergeCell ref="A128:A129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21" activeCellId="0" sqref="H21"/>
    </sheetView>
  </sheetViews>
  <sheetFormatPr defaultColWidth="11.55859375" defaultRowHeight="14.25" customHeight="false" zeroHeight="false" outlineLevelRow="0" outlineLevelCol="0"/>
  <sheetData>
    <row r="1" customFormat="false" ht="14.25" hidden="false" customHeight="false" outlineLevel="0" collapsed="false">
      <c r="A1" s="2" t="s">
        <v>20</v>
      </c>
      <c r="B1" s="2" t="s">
        <v>62</v>
      </c>
      <c r="C1" s="2" t="s">
        <v>396</v>
      </c>
      <c r="D1" s="2" t="s">
        <v>291</v>
      </c>
      <c r="E1" s="2" t="s">
        <v>293</v>
      </c>
      <c r="F1" s="2" t="s">
        <v>415</v>
      </c>
      <c r="G1" s="2" t="s">
        <v>442</v>
      </c>
      <c r="H1" s="2" t="s">
        <v>318</v>
      </c>
      <c r="I1" s="2" t="s">
        <v>78</v>
      </c>
      <c r="J1" s="2" t="s">
        <v>384</v>
      </c>
      <c r="K1" s="2" t="s">
        <v>585</v>
      </c>
      <c r="L1" s="2" t="s">
        <v>322</v>
      </c>
      <c r="M1" s="2" t="s">
        <v>93</v>
      </c>
      <c r="N1" s="2" t="s">
        <v>454</v>
      </c>
      <c r="O1" s="2" t="s">
        <v>512</v>
      </c>
      <c r="P1" s="2" t="s">
        <v>326</v>
      </c>
      <c r="Q1" s="2" t="s">
        <v>211</v>
      </c>
      <c r="R1" s="2" t="s">
        <v>386</v>
      </c>
      <c r="S1" s="2" t="s">
        <v>370</v>
      </c>
      <c r="T1" s="2" t="s">
        <v>469</v>
      </c>
      <c r="U1" s="2" t="s">
        <v>355</v>
      </c>
      <c r="V1" s="2" t="s">
        <v>471</v>
      </c>
      <c r="W1" s="2" t="s">
        <v>398</v>
      </c>
      <c r="X1" s="2" t="s">
        <v>308</v>
      </c>
      <c r="Y1" s="2" t="s">
        <v>329</v>
      </c>
      <c r="Z1" s="2" t="s">
        <v>379</v>
      </c>
      <c r="AA1" s="2" t="s">
        <v>244</v>
      </c>
      <c r="AB1" s="2" t="s">
        <v>473</v>
      </c>
      <c r="AC1" s="2" t="s">
        <v>73</v>
      </c>
      <c r="AD1" s="2" t="s">
        <v>208</v>
      </c>
      <c r="AE1" s="2" t="s">
        <v>435</v>
      </c>
      <c r="AF1" s="2" t="s">
        <v>105</v>
      </c>
      <c r="AG1" s="2" t="s">
        <v>88</v>
      </c>
      <c r="AH1" s="2" t="s">
        <v>337</v>
      </c>
      <c r="AI1" s="2" t="s">
        <v>97</v>
      </c>
    </row>
    <row r="2" customFormat="false" ht="14.25" hidden="false" customHeight="false" outlineLevel="0" collapsed="false">
      <c r="A2" s="1" t="n">
        <v>1</v>
      </c>
      <c r="B2" s="1" t="s">
        <v>72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1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</row>
    <row r="3" customFormat="false" ht="14.25" hidden="false" customHeight="false" outlineLevel="0" collapsed="false">
      <c r="A3" s="1" t="n">
        <v>2</v>
      </c>
      <c r="B3" s="1" t="s">
        <v>72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1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1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</row>
    <row r="4" customFormat="false" ht="14.25" hidden="false" customHeight="false" outlineLevel="0" collapsed="false">
      <c r="A4" s="1" t="n">
        <v>3</v>
      </c>
      <c r="B4" s="1" t="s">
        <v>82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1</v>
      </c>
      <c r="AG4" s="1" t="n">
        <v>0</v>
      </c>
      <c r="AH4" s="1" t="n">
        <v>0</v>
      </c>
      <c r="AI4" s="1" t="n">
        <v>0</v>
      </c>
    </row>
    <row r="5" customFormat="false" ht="14.25" hidden="false" customHeight="false" outlineLevel="0" collapsed="false">
      <c r="A5" s="1" t="n">
        <v>4</v>
      </c>
      <c r="B5" s="1" t="s">
        <v>82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1</v>
      </c>
      <c r="AH5" s="1" t="n">
        <v>0</v>
      </c>
      <c r="AI5" s="1" t="n">
        <v>0</v>
      </c>
    </row>
    <row r="6" customFormat="false" ht="14.25" hidden="false" customHeight="false" outlineLevel="0" collapsed="false">
      <c r="A6" s="1" t="n">
        <v>5</v>
      </c>
      <c r="B6" s="1" t="s">
        <v>92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1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</row>
    <row r="7" customFormat="false" ht="14.25" hidden="false" customHeight="false" outlineLevel="0" collapsed="false">
      <c r="A7" s="1" t="n">
        <v>6</v>
      </c>
      <c r="B7" s="1" t="s">
        <v>92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1</v>
      </c>
    </row>
    <row r="8" customFormat="false" ht="14.25" hidden="false" customHeight="false" outlineLevel="0" collapsed="false">
      <c r="A8" s="1" t="n">
        <v>7</v>
      </c>
      <c r="B8" s="1" t="s">
        <v>101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1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1</v>
      </c>
      <c r="AI8" s="1" t="n">
        <v>0</v>
      </c>
    </row>
    <row r="9" customFormat="false" ht="14.25" hidden="false" customHeight="false" outlineLevel="0" collapsed="false">
      <c r="A9" s="1" t="n">
        <v>8</v>
      </c>
      <c r="B9" s="1" t="s">
        <v>101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1</v>
      </c>
      <c r="AG9" s="1" t="n">
        <v>0</v>
      </c>
      <c r="AH9" s="1" t="n">
        <v>0</v>
      </c>
      <c r="AI9" s="1" t="n">
        <v>0</v>
      </c>
    </row>
  </sheetData>
  <autoFilter ref="A1:AI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20" activeCellId="0" sqref="D20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" min="1" style="1" width="17.11"/>
    <col collapsed="false" customWidth="true" hidden="false" outlineLevel="0" max="3" min="2" style="1" width="17"/>
    <col collapsed="false" customWidth="true" hidden="false" outlineLevel="0" max="4" min="4" style="1" width="12.22"/>
    <col collapsed="false" customWidth="true" hidden="false" outlineLevel="0" max="5" min="5" style="1" width="8.78"/>
    <col collapsed="false" customWidth="true" hidden="false" outlineLevel="0" max="6" min="6" style="1" width="10.78"/>
  </cols>
  <sheetData>
    <row r="1" customFormat="false" ht="14.25" hidden="false" customHeight="false" outlineLevel="0" collapsed="false">
      <c r="A1" s="38" t="s">
        <v>110</v>
      </c>
      <c r="B1" s="39" t="s">
        <v>41</v>
      </c>
      <c r="C1" s="39"/>
      <c r="D1" s="39"/>
      <c r="E1" s="39"/>
      <c r="F1" s="39"/>
    </row>
    <row r="2" customFormat="false" ht="14.25" hidden="false" customHeight="false" outlineLevel="0" collapsed="false">
      <c r="A2" s="40" t="s">
        <v>117</v>
      </c>
      <c r="B2" s="40" t="s">
        <v>141</v>
      </c>
      <c r="C2" s="40" t="s">
        <v>586</v>
      </c>
      <c r="D2" s="40" t="s">
        <v>587</v>
      </c>
      <c r="E2" s="40"/>
      <c r="F2" s="40"/>
    </row>
    <row r="3" customFormat="false" ht="14.25" hidden="false" customHeight="false" outlineLevel="0" collapsed="false">
      <c r="A3" s="40" t="s">
        <v>143</v>
      </c>
      <c r="B3" s="40" t="s">
        <v>141</v>
      </c>
      <c r="C3" s="40"/>
      <c r="D3" s="40"/>
      <c r="E3" s="40"/>
      <c r="F3" s="40"/>
    </row>
    <row r="4" customFormat="false" ht="14.25" hidden="false" customHeight="false" outlineLevel="0" collapsed="false">
      <c r="A4" s="40" t="s">
        <v>144</v>
      </c>
      <c r="B4" s="40"/>
      <c r="C4" s="40"/>
      <c r="D4" s="40"/>
      <c r="E4" s="40"/>
      <c r="F4" s="40"/>
    </row>
    <row r="5" customFormat="false" ht="14.25" hidden="false" customHeight="false" outlineLevel="0" collapsed="false">
      <c r="A5" s="40" t="s">
        <v>146</v>
      </c>
      <c r="B5" s="40" t="s">
        <v>149</v>
      </c>
      <c r="C5" s="40" t="s">
        <v>177</v>
      </c>
      <c r="D5" s="40"/>
      <c r="E5" s="40"/>
      <c r="F5" s="40"/>
    </row>
    <row r="6" customFormat="false" ht="14.25" hidden="false" customHeight="false" outlineLevel="0" collapsed="false">
      <c r="A6" s="40" t="s">
        <v>153</v>
      </c>
      <c r="B6" s="40" t="s">
        <v>141</v>
      </c>
      <c r="C6" s="40" t="s">
        <v>586</v>
      </c>
      <c r="D6" s="40"/>
      <c r="E6" s="40"/>
      <c r="F6" s="40"/>
    </row>
    <row r="7" customFormat="false" ht="14.25" hidden="false" customHeight="false" outlineLevel="0" collapsed="false">
      <c r="A7" s="40" t="s">
        <v>161</v>
      </c>
      <c r="B7" s="40" t="s">
        <v>149</v>
      </c>
      <c r="C7" s="40" t="s">
        <v>141</v>
      </c>
      <c r="D7" s="40" t="s">
        <v>177</v>
      </c>
      <c r="E7" s="40" t="s">
        <v>476</v>
      </c>
      <c r="F7" s="40"/>
    </row>
    <row r="8" customFormat="false" ht="14.25" hidden="false" customHeight="false" outlineLevel="0" collapsed="false">
      <c r="A8" s="40" t="s">
        <v>163</v>
      </c>
      <c r="B8" s="40" t="s">
        <v>141</v>
      </c>
      <c r="C8" s="40"/>
      <c r="D8" s="40"/>
      <c r="E8" s="40"/>
      <c r="F8" s="40"/>
    </row>
    <row r="9" customFormat="false" ht="14.25" hidden="false" customHeight="false" outlineLevel="0" collapsed="false">
      <c r="A9" s="40" t="s">
        <v>172</v>
      </c>
      <c r="B9" s="40" t="s">
        <v>141</v>
      </c>
      <c r="C9" s="40"/>
      <c r="D9" s="40"/>
      <c r="E9" s="40"/>
      <c r="F9" s="40"/>
    </row>
    <row r="10" customFormat="false" ht="14.25" hidden="false" customHeight="false" outlineLevel="0" collapsed="false">
      <c r="A10" s="40" t="s">
        <v>588</v>
      </c>
      <c r="B10" s="40" t="s">
        <v>303</v>
      </c>
      <c r="C10" s="40" t="s">
        <v>476</v>
      </c>
      <c r="D10" s="40"/>
      <c r="E10" s="40"/>
      <c r="F10" s="40"/>
    </row>
    <row r="11" customFormat="false" ht="14.25" hidden="false" customHeight="false" outlineLevel="0" collapsed="false">
      <c r="A11" s="40" t="s">
        <v>175</v>
      </c>
      <c r="B11" s="40" t="s">
        <v>149</v>
      </c>
      <c r="C11" s="40" t="s">
        <v>141</v>
      </c>
      <c r="D11" s="40" t="s">
        <v>303</v>
      </c>
      <c r="E11" s="40" t="s">
        <v>177</v>
      </c>
      <c r="F11" s="40" t="s">
        <v>589</v>
      </c>
    </row>
    <row r="12" customFormat="false" ht="14.25" hidden="false" customHeight="false" outlineLevel="0" collapsed="false">
      <c r="A12" s="40" t="s">
        <v>178</v>
      </c>
      <c r="B12" s="40" t="s">
        <v>149</v>
      </c>
      <c r="C12" s="40" t="s">
        <v>141</v>
      </c>
      <c r="D12" s="40" t="s">
        <v>303</v>
      </c>
      <c r="E12" s="40" t="s">
        <v>177</v>
      </c>
      <c r="F12" s="40" t="s">
        <v>589</v>
      </c>
    </row>
    <row r="13" customFormat="false" ht="14.25" hidden="false" customHeight="false" outlineLevel="0" collapsed="false">
      <c r="A13" s="40" t="s">
        <v>179</v>
      </c>
      <c r="B13" s="40" t="s">
        <v>149</v>
      </c>
      <c r="C13" s="40" t="s">
        <v>141</v>
      </c>
      <c r="D13" s="40" t="s">
        <v>303</v>
      </c>
      <c r="E13" s="40" t="s">
        <v>177</v>
      </c>
      <c r="F13" s="40" t="s">
        <v>589</v>
      </c>
    </row>
    <row r="14" customFormat="false" ht="14.25" hidden="false" customHeight="false" outlineLevel="0" collapsed="false">
      <c r="A14" s="40" t="s">
        <v>180</v>
      </c>
      <c r="B14" s="40"/>
      <c r="C14" s="40"/>
      <c r="D14" s="40"/>
      <c r="E14" s="40"/>
      <c r="F14" s="40"/>
    </row>
    <row r="15" customFormat="false" ht="14.25" hidden="false" customHeight="false" outlineLevel="0" collapsed="false">
      <c r="A15" s="40" t="s">
        <v>105</v>
      </c>
      <c r="B15" s="40" t="s">
        <v>149</v>
      </c>
      <c r="C15" s="40" t="s">
        <v>141</v>
      </c>
      <c r="D15" s="40" t="s">
        <v>177</v>
      </c>
      <c r="E15" s="40"/>
      <c r="F15" s="40"/>
    </row>
    <row r="16" customFormat="false" ht="14.25" hidden="false" customHeight="false" outlineLevel="0" collapsed="false">
      <c r="A16" s="40" t="s">
        <v>190</v>
      </c>
      <c r="B16" s="40" t="s">
        <v>141</v>
      </c>
      <c r="C16" s="40" t="s">
        <v>586</v>
      </c>
      <c r="D16" s="40"/>
      <c r="E16" s="40"/>
      <c r="F16" s="40"/>
    </row>
    <row r="17" customFormat="false" ht="14.25" hidden="false" customHeight="false" outlineLevel="0" collapsed="false">
      <c r="A17" s="40" t="s">
        <v>191</v>
      </c>
      <c r="B17" s="40" t="s">
        <v>141</v>
      </c>
      <c r="C17" s="40"/>
      <c r="D17" s="40"/>
      <c r="E17" s="40"/>
      <c r="F17" s="40"/>
    </row>
    <row r="18" customFormat="false" ht="14.25" hidden="false" customHeight="false" outlineLevel="0" collapsed="false">
      <c r="A18" s="40" t="s">
        <v>198</v>
      </c>
      <c r="B18" s="40" t="s">
        <v>141</v>
      </c>
      <c r="C18" s="40"/>
      <c r="D18" s="40"/>
      <c r="E18" s="40"/>
      <c r="F18" s="40"/>
    </row>
    <row r="19" customFormat="false" ht="14.25" hidden="false" customHeight="false" outlineLevel="0" collapsed="false">
      <c r="A19" s="40" t="s">
        <v>201</v>
      </c>
      <c r="B19" s="40"/>
      <c r="C19" s="40"/>
      <c r="D19" s="40"/>
      <c r="E19" s="40"/>
      <c r="F19" s="40"/>
    </row>
    <row r="20" customFormat="false" ht="14.25" hidden="false" customHeight="false" outlineLevel="0" collapsed="false">
      <c r="A20" s="40" t="s">
        <v>204</v>
      </c>
      <c r="B20" s="40" t="s">
        <v>207</v>
      </c>
      <c r="C20" s="40"/>
      <c r="D20" s="40"/>
      <c r="E20" s="40"/>
      <c r="F20" s="40"/>
    </row>
    <row r="21" customFormat="false" ht="14.25" hidden="false" customHeight="false" outlineLevel="0" collapsed="false">
      <c r="A21" s="40" t="s">
        <v>208</v>
      </c>
      <c r="B21" s="40" t="s">
        <v>149</v>
      </c>
      <c r="C21" s="40" t="s">
        <v>141</v>
      </c>
      <c r="D21" s="40" t="s">
        <v>177</v>
      </c>
      <c r="E21" s="40"/>
      <c r="F21" s="40"/>
    </row>
    <row r="22" customFormat="false" ht="14.25" hidden="false" customHeight="false" outlineLevel="0" collapsed="false">
      <c r="A22" s="40" t="s">
        <v>211</v>
      </c>
      <c r="B22" s="40" t="s">
        <v>184</v>
      </c>
      <c r="C22" s="40"/>
      <c r="D22" s="40"/>
      <c r="E22" s="40"/>
      <c r="F22" s="40"/>
    </row>
    <row r="23" customFormat="false" ht="14.25" hidden="false" customHeight="false" outlineLevel="0" collapsed="false">
      <c r="A23" s="40" t="s">
        <v>220</v>
      </c>
      <c r="B23" s="40" t="s">
        <v>149</v>
      </c>
      <c r="C23" s="40" t="s">
        <v>141</v>
      </c>
      <c r="D23" s="40" t="s">
        <v>590</v>
      </c>
      <c r="E23" s="40" t="s">
        <v>177</v>
      </c>
      <c r="F23" s="40"/>
    </row>
    <row r="24" customFormat="false" ht="14.25" hidden="false" customHeight="false" outlineLevel="0" collapsed="false">
      <c r="A24" s="40" t="s">
        <v>591</v>
      </c>
      <c r="B24" s="40" t="s">
        <v>592</v>
      </c>
      <c r="C24" s="40"/>
      <c r="D24" s="40"/>
      <c r="E24" s="40"/>
      <c r="F24" s="40"/>
    </row>
    <row r="25" customFormat="false" ht="14.25" hidden="false" customHeight="false" outlineLevel="0" collapsed="false">
      <c r="A25" s="40" t="s">
        <v>223</v>
      </c>
      <c r="B25" s="40" t="s">
        <v>149</v>
      </c>
      <c r="C25" s="40" t="s">
        <v>141</v>
      </c>
      <c r="D25" s="40" t="s">
        <v>303</v>
      </c>
      <c r="E25" s="40" t="s">
        <v>177</v>
      </c>
      <c r="F25" s="40"/>
    </row>
    <row r="26" customFormat="false" ht="14.25" hidden="false" customHeight="false" outlineLevel="0" collapsed="false">
      <c r="A26" s="40" t="s">
        <v>226</v>
      </c>
      <c r="B26" s="40" t="s">
        <v>149</v>
      </c>
      <c r="C26" s="40" t="s">
        <v>141</v>
      </c>
      <c r="D26" s="40" t="s">
        <v>177</v>
      </c>
      <c r="E26" s="40"/>
      <c r="F26" s="40"/>
    </row>
    <row r="27" customFormat="false" ht="14.25" hidden="false" customHeight="false" outlineLevel="0" collapsed="false">
      <c r="A27" s="40" t="s">
        <v>228</v>
      </c>
      <c r="B27" s="40" t="s">
        <v>149</v>
      </c>
      <c r="C27" s="40" t="s">
        <v>141</v>
      </c>
      <c r="D27" s="40" t="s">
        <v>303</v>
      </c>
      <c r="E27" s="40" t="s">
        <v>177</v>
      </c>
      <c r="F27" s="40"/>
    </row>
    <row r="28" customFormat="false" ht="14.25" hidden="false" customHeight="false" outlineLevel="0" collapsed="false">
      <c r="A28" s="40" t="s">
        <v>231</v>
      </c>
      <c r="B28" s="40" t="s">
        <v>149</v>
      </c>
      <c r="C28" s="40" t="s">
        <v>141</v>
      </c>
      <c r="D28" s="40" t="s">
        <v>177</v>
      </c>
      <c r="E28" s="40"/>
      <c r="F28" s="40"/>
    </row>
    <row r="29" customFormat="false" ht="14.25" hidden="false" customHeight="false" outlineLevel="0" collapsed="false">
      <c r="A29" s="40" t="s">
        <v>236</v>
      </c>
      <c r="B29" s="40" t="s">
        <v>149</v>
      </c>
      <c r="C29" s="40" t="s">
        <v>141</v>
      </c>
      <c r="D29" s="40" t="s">
        <v>177</v>
      </c>
      <c r="E29" s="40"/>
      <c r="F29" s="40"/>
    </row>
    <row r="30" customFormat="false" ht="14.25" hidden="false" customHeight="false" outlineLevel="0" collapsed="false">
      <c r="A30" s="40" t="s">
        <v>241</v>
      </c>
      <c r="B30" s="40" t="s">
        <v>141</v>
      </c>
      <c r="C30" s="40" t="s">
        <v>243</v>
      </c>
      <c r="D30" s="40"/>
      <c r="E30" s="40"/>
      <c r="F30" s="40"/>
    </row>
    <row r="31" customFormat="false" ht="14.25" hidden="false" customHeight="false" outlineLevel="0" collapsed="false">
      <c r="A31" s="40" t="s">
        <v>244</v>
      </c>
      <c r="B31" s="40" t="s">
        <v>141</v>
      </c>
      <c r="C31" s="40"/>
      <c r="D31" s="40"/>
      <c r="E31" s="40"/>
      <c r="F31" s="40"/>
    </row>
    <row r="32" customFormat="false" ht="14.25" hidden="false" customHeight="false" outlineLevel="0" collapsed="false">
      <c r="A32" s="40" t="s">
        <v>249</v>
      </c>
      <c r="B32" s="40"/>
      <c r="C32" s="40"/>
      <c r="D32" s="40"/>
      <c r="E32" s="40"/>
      <c r="F32" s="40"/>
    </row>
    <row r="33" customFormat="false" ht="14.25" hidden="false" customHeight="false" outlineLevel="0" collapsed="false">
      <c r="A33" s="40" t="s">
        <v>250</v>
      </c>
      <c r="B33" s="40" t="s">
        <v>149</v>
      </c>
      <c r="C33" s="40" t="s">
        <v>177</v>
      </c>
      <c r="D33" s="40" t="s">
        <v>177</v>
      </c>
      <c r="E33" s="40"/>
      <c r="F33" s="40"/>
    </row>
    <row r="34" customFormat="false" ht="14.25" hidden="false" customHeight="false" outlineLevel="0" collapsed="false">
      <c r="A34" s="40" t="s">
        <v>252</v>
      </c>
      <c r="B34" s="40" t="s">
        <v>589</v>
      </c>
      <c r="C34" s="40"/>
      <c r="D34" s="40"/>
      <c r="E34" s="40"/>
      <c r="F34" s="40"/>
    </row>
    <row r="35" customFormat="false" ht="14.25" hidden="false" customHeight="false" outlineLevel="0" collapsed="false">
      <c r="A35" s="40" t="s">
        <v>257</v>
      </c>
      <c r="B35" s="40" t="s">
        <v>589</v>
      </c>
      <c r="C35" s="40"/>
      <c r="D35" s="40"/>
      <c r="E35" s="40"/>
      <c r="F35" s="40"/>
    </row>
    <row r="36" customFormat="false" ht="14.25" hidden="false" customHeight="false" outlineLevel="0" collapsed="false">
      <c r="A36" s="40" t="s">
        <v>269</v>
      </c>
      <c r="B36" s="40" t="s">
        <v>141</v>
      </c>
      <c r="C36" s="40" t="s">
        <v>586</v>
      </c>
      <c r="D36" s="40"/>
      <c r="E36" s="40"/>
      <c r="F36" s="40"/>
    </row>
    <row r="37" customFormat="false" ht="14.25" hidden="false" customHeight="false" outlineLevel="0" collapsed="false">
      <c r="A37" s="40" t="s">
        <v>270</v>
      </c>
      <c r="B37" s="40"/>
      <c r="C37" s="40"/>
      <c r="D37" s="40"/>
      <c r="E37" s="40"/>
      <c r="F37" s="40"/>
    </row>
    <row r="38" customFormat="false" ht="14.25" hidden="false" customHeight="false" outlineLevel="0" collapsed="false">
      <c r="A38" s="40" t="s">
        <v>93</v>
      </c>
      <c r="B38" s="40" t="s">
        <v>149</v>
      </c>
      <c r="C38" s="40" t="s">
        <v>141</v>
      </c>
      <c r="D38" s="40" t="s">
        <v>177</v>
      </c>
      <c r="E38" s="40"/>
      <c r="F38" s="40"/>
    </row>
    <row r="39" customFormat="false" ht="14.25" hidden="false" customHeight="false" outlineLevel="0" collapsed="false">
      <c r="A39" s="40" t="s">
        <v>281</v>
      </c>
      <c r="B39" s="40" t="s">
        <v>149</v>
      </c>
      <c r="C39" s="40" t="s">
        <v>141</v>
      </c>
      <c r="D39" s="40" t="s">
        <v>177</v>
      </c>
      <c r="E39" s="40"/>
      <c r="F39" s="40"/>
    </row>
    <row r="40" customFormat="false" ht="14.25" hidden="false" customHeight="false" outlineLevel="0" collapsed="false">
      <c r="A40" s="40" t="s">
        <v>284</v>
      </c>
      <c r="B40" s="40"/>
      <c r="C40" s="40"/>
      <c r="D40" s="40"/>
      <c r="E40" s="40"/>
      <c r="F40" s="40"/>
    </row>
    <row r="41" customFormat="false" ht="14.25" hidden="false" customHeight="false" outlineLevel="0" collapsed="false">
      <c r="A41" s="40" t="s">
        <v>285</v>
      </c>
      <c r="B41" s="40"/>
      <c r="C41" s="40"/>
      <c r="D41" s="40"/>
      <c r="E41" s="40"/>
      <c r="F41" s="40"/>
    </row>
    <row r="42" customFormat="false" ht="14.25" hidden="false" customHeight="false" outlineLevel="0" collapsed="false">
      <c r="A42" s="40" t="s">
        <v>286</v>
      </c>
      <c r="B42" s="40" t="s">
        <v>141</v>
      </c>
      <c r="C42" s="40" t="s">
        <v>589</v>
      </c>
      <c r="D42" s="40"/>
      <c r="E42" s="40"/>
      <c r="F42" s="40"/>
    </row>
    <row r="43" customFormat="false" ht="14.25" hidden="false" customHeight="false" outlineLevel="0" collapsed="false">
      <c r="A43" s="40" t="s">
        <v>291</v>
      </c>
      <c r="B43" s="40" t="s">
        <v>141</v>
      </c>
      <c r="C43" s="40"/>
      <c r="D43" s="40"/>
      <c r="E43" s="40"/>
      <c r="F43" s="40"/>
    </row>
    <row r="44" customFormat="false" ht="14.25" hidden="false" customHeight="false" outlineLevel="0" collapsed="false">
      <c r="A44" s="40" t="s">
        <v>292</v>
      </c>
      <c r="B44" s="40" t="s">
        <v>149</v>
      </c>
      <c r="C44" s="40" t="s">
        <v>141</v>
      </c>
      <c r="D44" s="40" t="s">
        <v>177</v>
      </c>
      <c r="E44" s="40"/>
      <c r="F44" s="40"/>
    </row>
    <row r="45" customFormat="false" ht="14.25" hidden="false" customHeight="false" outlineLevel="0" collapsed="false">
      <c r="A45" s="40" t="s">
        <v>293</v>
      </c>
      <c r="B45" s="40" t="s">
        <v>149</v>
      </c>
      <c r="C45" s="40" t="s">
        <v>141</v>
      </c>
      <c r="D45" s="40" t="s">
        <v>177</v>
      </c>
      <c r="E45" s="40"/>
      <c r="F45" s="40"/>
    </row>
    <row r="46" customFormat="false" ht="14.25" hidden="false" customHeight="false" outlineLevel="0" collapsed="false">
      <c r="A46" s="40" t="s">
        <v>293</v>
      </c>
      <c r="B46" s="40" t="s">
        <v>149</v>
      </c>
      <c r="C46" s="40" t="s">
        <v>141</v>
      </c>
      <c r="D46" s="40" t="s">
        <v>177</v>
      </c>
      <c r="E46" s="40"/>
      <c r="F46" s="40"/>
    </row>
    <row r="47" customFormat="false" ht="14.25" hidden="false" customHeight="false" outlineLevel="0" collapsed="false">
      <c r="A47" s="40" t="s">
        <v>296</v>
      </c>
      <c r="B47" s="40" t="s">
        <v>141</v>
      </c>
      <c r="C47" s="40"/>
      <c r="D47" s="40"/>
      <c r="E47" s="40"/>
      <c r="F47" s="40"/>
    </row>
    <row r="48" customFormat="false" ht="14.25" hidden="false" customHeight="false" outlineLevel="0" collapsed="false">
      <c r="A48" s="40" t="s">
        <v>593</v>
      </c>
      <c r="B48" s="40" t="s">
        <v>303</v>
      </c>
      <c r="C48" s="40" t="s">
        <v>476</v>
      </c>
      <c r="D48" s="40"/>
      <c r="E48" s="40"/>
      <c r="F48" s="40"/>
    </row>
    <row r="49" customFormat="false" ht="14.25" hidden="false" customHeight="false" outlineLevel="0" collapsed="false">
      <c r="A49" s="40" t="s">
        <v>301</v>
      </c>
      <c r="B49" s="40" t="s">
        <v>592</v>
      </c>
      <c r="C49" s="40" t="s">
        <v>594</v>
      </c>
      <c r="D49" s="40"/>
      <c r="E49" s="40"/>
      <c r="F49" s="40"/>
    </row>
    <row r="50" customFormat="false" ht="14.25" hidden="false" customHeight="false" outlineLevel="0" collapsed="false">
      <c r="A50" s="40" t="s">
        <v>595</v>
      </c>
      <c r="B50" s="40" t="s">
        <v>207</v>
      </c>
      <c r="C50" s="40"/>
      <c r="D50" s="40"/>
      <c r="E50" s="40"/>
      <c r="F50" s="40"/>
    </row>
    <row r="51" customFormat="false" ht="14.25" hidden="false" customHeight="false" outlineLevel="0" collapsed="false">
      <c r="A51" s="40" t="s">
        <v>97</v>
      </c>
      <c r="B51" s="40" t="s">
        <v>141</v>
      </c>
      <c r="C51" s="40" t="s">
        <v>303</v>
      </c>
      <c r="D51" s="40"/>
      <c r="E51" s="40"/>
      <c r="F51" s="40"/>
    </row>
    <row r="52" customFormat="false" ht="14.25" hidden="false" customHeight="false" outlineLevel="0" collapsed="false">
      <c r="A52" s="40" t="s">
        <v>305</v>
      </c>
      <c r="B52" s="40" t="s">
        <v>141</v>
      </c>
      <c r="C52" s="40" t="s">
        <v>303</v>
      </c>
      <c r="D52" s="40"/>
      <c r="E52" s="40"/>
      <c r="F52" s="40"/>
    </row>
    <row r="53" customFormat="false" ht="14.25" hidden="false" customHeight="false" outlineLevel="0" collapsed="false">
      <c r="A53" s="40" t="s">
        <v>306</v>
      </c>
      <c r="B53" s="40" t="s">
        <v>141</v>
      </c>
      <c r="C53" s="40" t="s">
        <v>303</v>
      </c>
      <c r="D53" s="40"/>
      <c r="E53" s="40"/>
      <c r="F53" s="40"/>
    </row>
    <row r="54" customFormat="false" ht="14.25" hidden="false" customHeight="false" outlineLevel="0" collapsed="false">
      <c r="A54" s="40" t="s">
        <v>307</v>
      </c>
      <c r="B54" s="40" t="s">
        <v>303</v>
      </c>
      <c r="C54" s="40"/>
      <c r="D54" s="40"/>
      <c r="E54" s="40"/>
      <c r="F54" s="40"/>
    </row>
    <row r="55" customFormat="false" ht="14.25" hidden="false" customHeight="false" outlineLevel="0" collapsed="false">
      <c r="A55" s="40" t="s">
        <v>308</v>
      </c>
      <c r="B55" s="40" t="s">
        <v>141</v>
      </c>
      <c r="C55" s="40"/>
      <c r="D55" s="40"/>
      <c r="E55" s="40"/>
      <c r="F55" s="40"/>
    </row>
    <row r="56" customFormat="false" ht="14.25" hidden="false" customHeight="false" outlineLevel="0" collapsed="false">
      <c r="A56" s="40" t="s">
        <v>314</v>
      </c>
      <c r="B56" s="40" t="s">
        <v>141</v>
      </c>
      <c r="C56" s="40"/>
      <c r="D56" s="40"/>
      <c r="E56" s="40"/>
      <c r="F56" s="40"/>
    </row>
    <row r="57" customFormat="false" ht="14.25" hidden="false" customHeight="false" outlineLevel="0" collapsed="false">
      <c r="A57" s="40" t="s">
        <v>596</v>
      </c>
      <c r="B57" s="40" t="s">
        <v>586</v>
      </c>
      <c r="C57" s="40"/>
      <c r="D57" s="40"/>
      <c r="E57" s="40"/>
      <c r="F57" s="40"/>
    </row>
    <row r="58" customFormat="false" ht="14.25" hidden="false" customHeight="false" outlineLevel="0" collapsed="false">
      <c r="A58" s="40" t="s">
        <v>316</v>
      </c>
      <c r="B58" s="40" t="s">
        <v>141</v>
      </c>
      <c r="C58" s="40" t="s">
        <v>597</v>
      </c>
      <c r="D58" s="40"/>
      <c r="E58" s="40"/>
      <c r="F58" s="40"/>
    </row>
    <row r="59" customFormat="false" ht="14.25" hidden="false" customHeight="false" outlineLevel="0" collapsed="false">
      <c r="A59" s="40" t="s">
        <v>318</v>
      </c>
      <c r="B59" s="40"/>
      <c r="C59" s="40"/>
      <c r="D59" s="40"/>
      <c r="E59" s="40"/>
      <c r="F59" s="40"/>
    </row>
    <row r="60" customFormat="false" ht="14.25" hidden="false" customHeight="false" outlineLevel="0" collapsed="false">
      <c r="A60" s="40" t="s">
        <v>320</v>
      </c>
      <c r="B60" s="40" t="s">
        <v>141</v>
      </c>
      <c r="C60" s="40"/>
      <c r="D60" s="40"/>
      <c r="E60" s="40"/>
      <c r="F60" s="40"/>
    </row>
    <row r="61" customFormat="false" ht="14.25" hidden="false" customHeight="false" outlineLevel="0" collapsed="false">
      <c r="A61" s="40" t="s">
        <v>322</v>
      </c>
      <c r="B61" s="40"/>
      <c r="C61" s="40"/>
      <c r="D61" s="40"/>
      <c r="E61" s="40"/>
      <c r="F61" s="40"/>
    </row>
    <row r="62" customFormat="false" ht="14.25" hidden="false" customHeight="false" outlineLevel="0" collapsed="false">
      <c r="A62" s="40" t="s">
        <v>325</v>
      </c>
      <c r="B62" s="40" t="s">
        <v>149</v>
      </c>
      <c r="C62" s="40" t="s">
        <v>177</v>
      </c>
      <c r="D62" s="40"/>
      <c r="E62" s="40"/>
      <c r="F62" s="40"/>
    </row>
    <row r="63" customFormat="false" ht="14.25" hidden="false" customHeight="false" outlineLevel="0" collapsed="false">
      <c r="A63" s="40" t="s">
        <v>326</v>
      </c>
      <c r="B63" s="40" t="s">
        <v>149</v>
      </c>
      <c r="C63" s="40" t="s">
        <v>141</v>
      </c>
      <c r="D63" s="40" t="s">
        <v>177</v>
      </c>
      <c r="E63" s="40"/>
      <c r="F63" s="40"/>
    </row>
    <row r="64" customFormat="false" ht="14.25" hidden="false" customHeight="false" outlineLevel="0" collapsed="false">
      <c r="A64" s="40" t="s">
        <v>329</v>
      </c>
      <c r="B64" s="40" t="s">
        <v>149</v>
      </c>
      <c r="C64" s="40" t="s">
        <v>141</v>
      </c>
      <c r="D64" s="40" t="s">
        <v>177</v>
      </c>
      <c r="E64" s="40"/>
      <c r="F64" s="40"/>
    </row>
    <row r="65" customFormat="false" ht="14.25" hidden="false" customHeight="false" outlineLevel="0" collapsed="false">
      <c r="A65" s="40" t="s">
        <v>330</v>
      </c>
      <c r="B65" s="40" t="s">
        <v>149</v>
      </c>
      <c r="C65" s="40" t="s">
        <v>141</v>
      </c>
      <c r="D65" s="40" t="s">
        <v>177</v>
      </c>
      <c r="E65" s="40"/>
      <c r="F65" s="40"/>
    </row>
    <row r="66" customFormat="false" ht="14.25" hidden="false" customHeight="false" outlineLevel="0" collapsed="false">
      <c r="A66" s="40" t="s">
        <v>331</v>
      </c>
      <c r="B66" s="40" t="s">
        <v>141</v>
      </c>
      <c r="C66" s="40" t="s">
        <v>598</v>
      </c>
      <c r="D66" s="40"/>
      <c r="E66" s="40"/>
      <c r="F66" s="40"/>
    </row>
    <row r="67" customFormat="false" ht="14.25" hidden="false" customHeight="false" outlineLevel="0" collapsed="false">
      <c r="A67" s="40" t="s">
        <v>333</v>
      </c>
      <c r="B67" s="40" t="s">
        <v>141</v>
      </c>
      <c r="C67" s="40"/>
      <c r="D67" s="40"/>
      <c r="E67" s="40"/>
      <c r="F67" s="40"/>
    </row>
    <row r="68" customFormat="false" ht="14.25" hidden="false" customHeight="false" outlineLevel="0" collapsed="false">
      <c r="A68" s="40" t="s">
        <v>334</v>
      </c>
      <c r="B68" s="40" t="s">
        <v>149</v>
      </c>
      <c r="C68" s="40" t="s">
        <v>141</v>
      </c>
      <c r="D68" s="40" t="s">
        <v>177</v>
      </c>
      <c r="E68" s="40"/>
      <c r="F68" s="40"/>
    </row>
    <row r="69" customFormat="false" ht="14.25" hidden="false" customHeight="false" outlineLevel="0" collapsed="false">
      <c r="A69" s="40" t="s">
        <v>337</v>
      </c>
      <c r="B69" s="40" t="s">
        <v>149</v>
      </c>
      <c r="C69" s="40" t="s">
        <v>141</v>
      </c>
      <c r="D69" s="40" t="s">
        <v>207</v>
      </c>
      <c r="E69" s="40" t="s">
        <v>177</v>
      </c>
      <c r="F69" s="40"/>
    </row>
    <row r="70" customFormat="false" ht="14.25" hidden="false" customHeight="false" outlineLevel="0" collapsed="false">
      <c r="A70" s="40" t="s">
        <v>338</v>
      </c>
      <c r="B70" s="40" t="s">
        <v>141</v>
      </c>
      <c r="C70" s="40"/>
      <c r="D70" s="40"/>
      <c r="E70" s="40"/>
      <c r="F70" s="40"/>
    </row>
    <row r="71" customFormat="false" ht="14.25" hidden="false" customHeight="false" outlineLevel="0" collapsed="false">
      <c r="A71" s="40" t="s">
        <v>340</v>
      </c>
      <c r="B71" s="40" t="s">
        <v>149</v>
      </c>
      <c r="C71" s="40" t="s">
        <v>141</v>
      </c>
      <c r="D71" s="40" t="s">
        <v>589</v>
      </c>
      <c r="E71" s="40" t="s">
        <v>177</v>
      </c>
      <c r="F71" s="40"/>
    </row>
    <row r="72" customFormat="false" ht="14.25" hidden="false" customHeight="false" outlineLevel="0" collapsed="false">
      <c r="A72" s="40" t="s">
        <v>342</v>
      </c>
      <c r="B72" s="40"/>
      <c r="C72" s="40"/>
      <c r="D72" s="40"/>
      <c r="E72" s="40"/>
      <c r="F72" s="40"/>
    </row>
    <row r="73" customFormat="false" ht="14.25" hidden="false" customHeight="false" outlineLevel="0" collapsed="false">
      <c r="A73" s="40" t="s">
        <v>343</v>
      </c>
      <c r="B73" s="40" t="s">
        <v>149</v>
      </c>
      <c r="C73" s="40" t="s">
        <v>141</v>
      </c>
      <c r="D73" s="40" t="s">
        <v>177</v>
      </c>
      <c r="E73" s="40"/>
      <c r="F73" s="40"/>
    </row>
    <row r="74" customFormat="false" ht="14.25" hidden="false" customHeight="false" outlineLevel="0" collapsed="false">
      <c r="A74" s="40" t="s">
        <v>353</v>
      </c>
      <c r="B74" s="40" t="s">
        <v>149</v>
      </c>
      <c r="C74" s="40" t="s">
        <v>177</v>
      </c>
      <c r="D74" s="40"/>
      <c r="E74" s="40"/>
      <c r="F74" s="40"/>
    </row>
    <row r="75" customFormat="false" ht="14.25" hidden="false" customHeight="false" outlineLevel="0" collapsed="false">
      <c r="A75" s="40" t="s">
        <v>354</v>
      </c>
      <c r="B75" s="40" t="s">
        <v>207</v>
      </c>
      <c r="C75" s="40"/>
      <c r="D75" s="40"/>
      <c r="E75" s="40"/>
      <c r="F75" s="40"/>
    </row>
    <row r="76" customFormat="false" ht="14.25" hidden="false" customHeight="false" outlineLevel="0" collapsed="false">
      <c r="A76" s="40" t="s">
        <v>355</v>
      </c>
      <c r="B76" s="40" t="s">
        <v>149</v>
      </c>
      <c r="C76" s="40" t="s">
        <v>177</v>
      </c>
      <c r="D76" s="40"/>
      <c r="E76" s="40"/>
      <c r="F76" s="40"/>
    </row>
    <row r="77" customFormat="false" ht="14.25" hidden="false" customHeight="false" outlineLevel="0" collapsed="false">
      <c r="A77" s="40" t="s">
        <v>357</v>
      </c>
      <c r="B77" s="40" t="s">
        <v>149</v>
      </c>
      <c r="C77" s="40" t="s">
        <v>177</v>
      </c>
      <c r="D77" s="40"/>
      <c r="E77" s="40"/>
      <c r="F77" s="40"/>
    </row>
    <row r="78" customFormat="false" ht="14.25" hidden="false" customHeight="false" outlineLevel="0" collapsed="false">
      <c r="A78" s="40" t="s">
        <v>358</v>
      </c>
      <c r="B78" s="40" t="s">
        <v>141</v>
      </c>
      <c r="C78" s="40"/>
      <c r="D78" s="40"/>
      <c r="E78" s="40"/>
      <c r="F78" s="40"/>
    </row>
    <row r="79" customFormat="false" ht="14.25" hidden="false" customHeight="false" outlineLevel="0" collapsed="false">
      <c r="A79" s="40" t="s">
        <v>359</v>
      </c>
      <c r="B79" s="40" t="s">
        <v>141</v>
      </c>
      <c r="C79" s="40"/>
      <c r="D79" s="40"/>
      <c r="E79" s="40"/>
      <c r="F79" s="40"/>
    </row>
    <row r="80" customFormat="false" ht="14.25" hidden="false" customHeight="false" outlineLevel="0" collapsed="false">
      <c r="A80" s="40" t="s">
        <v>360</v>
      </c>
      <c r="B80" s="40" t="s">
        <v>149</v>
      </c>
      <c r="C80" s="40" t="s">
        <v>141</v>
      </c>
      <c r="D80" s="40" t="s">
        <v>177</v>
      </c>
      <c r="E80" s="40"/>
      <c r="F80" s="40"/>
    </row>
    <row r="81" customFormat="false" ht="14.25" hidden="false" customHeight="false" outlineLevel="0" collapsed="false">
      <c r="A81" s="40" t="s">
        <v>362</v>
      </c>
      <c r="B81" s="40" t="s">
        <v>149</v>
      </c>
      <c r="C81" s="40" t="s">
        <v>141</v>
      </c>
      <c r="D81" s="40" t="s">
        <v>177</v>
      </c>
      <c r="E81" s="40"/>
      <c r="F81" s="40"/>
    </row>
    <row r="82" customFormat="false" ht="14.25" hidden="false" customHeight="false" outlineLevel="0" collapsed="false">
      <c r="A82" s="40" t="s">
        <v>363</v>
      </c>
      <c r="B82" s="40" t="s">
        <v>149</v>
      </c>
      <c r="C82" s="40" t="s">
        <v>141</v>
      </c>
      <c r="D82" s="40" t="s">
        <v>177</v>
      </c>
      <c r="E82" s="40"/>
      <c r="F82" s="40"/>
    </row>
    <row r="83" customFormat="false" ht="14.25" hidden="false" customHeight="false" outlineLevel="0" collapsed="false">
      <c r="A83" s="40" t="s">
        <v>364</v>
      </c>
      <c r="B83" s="40"/>
      <c r="C83" s="40"/>
      <c r="D83" s="40"/>
      <c r="E83" s="40"/>
      <c r="F83" s="40"/>
    </row>
    <row r="84" customFormat="false" ht="14.25" hidden="false" customHeight="false" outlineLevel="0" collapsed="false">
      <c r="A84" s="40" t="s">
        <v>365</v>
      </c>
      <c r="B84" s="40" t="s">
        <v>149</v>
      </c>
      <c r="C84" s="40" t="s">
        <v>141</v>
      </c>
      <c r="D84" s="40" t="s">
        <v>177</v>
      </c>
      <c r="E84" s="40"/>
      <c r="F84" s="40"/>
    </row>
    <row r="85" customFormat="false" ht="14.25" hidden="false" customHeight="false" outlineLevel="0" collapsed="false">
      <c r="A85" s="40" t="s">
        <v>366</v>
      </c>
      <c r="B85" s="40" t="s">
        <v>141</v>
      </c>
      <c r="C85" s="40" t="s">
        <v>476</v>
      </c>
      <c r="D85" s="40"/>
      <c r="E85" s="40"/>
      <c r="F85" s="40"/>
    </row>
    <row r="86" customFormat="false" ht="14.25" hidden="false" customHeight="false" outlineLevel="0" collapsed="false">
      <c r="A86" s="40" t="s">
        <v>369</v>
      </c>
      <c r="B86" s="40" t="s">
        <v>149</v>
      </c>
      <c r="C86" s="40" t="s">
        <v>141</v>
      </c>
      <c r="D86" s="40" t="s">
        <v>177</v>
      </c>
      <c r="E86" s="40"/>
      <c r="F86" s="40"/>
    </row>
    <row r="87" customFormat="false" ht="14.25" hidden="false" customHeight="false" outlineLevel="0" collapsed="false">
      <c r="A87" s="40" t="s">
        <v>370</v>
      </c>
      <c r="B87" s="40" t="s">
        <v>149</v>
      </c>
      <c r="C87" s="40" t="s">
        <v>141</v>
      </c>
      <c r="D87" s="40" t="s">
        <v>177</v>
      </c>
      <c r="E87" s="40"/>
      <c r="F87" s="40"/>
    </row>
    <row r="88" customFormat="false" ht="14.25" hidden="false" customHeight="false" outlineLevel="0" collapsed="false">
      <c r="A88" s="40" t="s">
        <v>375</v>
      </c>
      <c r="B88" s="40" t="s">
        <v>149</v>
      </c>
      <c r="C88" s="40" t="s">
        <v>177</v>
      </c>
      <c r="D88" s="40"/>
      <c r="E88" s="40"/>
      <c r="F88" s="40"/>
    </row>
    <row r="89" customFormat="false" ht="14.25" hidden="false" customHeight="false" outlineLevel="0" collapsed="false">
      <c r="A89" s="40" t="s">
        <v>377</v>
      </c>
      <c r="B89" s="40" t="s">
        <v>141</v>
      </c>
      <c r="C89" s="40" t="s">
        <v>184</v>
      </c>
      <c r="D89" s="40"/>
      <c r="E89" s="40"/>
      <c r="F89" s="40"/>
    </row>
    <row r="90" customFormat="false" ht="14.25" hidden="false" customHeight="false" outlineLevel="0" collapsed="false">
      <c r="A90" s="40" t="s">
        <v>379</v>
      </c>
      <c r="B90" s="40" t="s">
        <v>149</v>
      </c>
      <c r="C90" s="40" t="s">
        <v>141</v>
      </c>
      <c r="D90" s="40" t="s">
        <v>177</v>
      </c>
      <c r="E90" s="40"/>
      <c r="F90" s="40"/>
    </row>
    <row r="91" customFormat="false" ht="14.25" hidden="false" customHeight="false" outlineLevel="0" collapsed="false">
      <c r="A91" s="40" t="s">
        <v>383</v>
      </c>
      <c r="B91" s="40" t="s">
        <v>149</v>
      </c>
      <c r="C91" s="40" t="s">
        <v>141</v>
      </c>
      <c r="D91" s="40" t="s">
        <v>177</v>
      </c>
      <c r="E91" s="40"/>
      <c r="F91" s="40"/>
    </row>
    <row r="92" customFormat="false" ht="14.25" hidden="false" customHeight="false" outlineLevel="0" collapsed="false">
      <c r="A92" s="40" t="s">
        <v>384</v>
      </c>
      <c r="B92" s="40" t="s">
        <v>385</v>
      </c>
      <c r="C92" s="40"/>
      <c r="D92" s="40"/>
      <c r="E92" s="40"/>
      <c r="F92" s="40"/>
    </row>
    <row r="93" customFormat="false" ht="14.25" hidden="false" customHeight="false" outlineLevel="0" collapsed="false">
      <c r="A93" s="40" t="s">
        <v>386</v>
      </c>
      <c r="B93" s="40" t="s">
        <v>141</v>
      </c>
      <c r="C93" s="40"/>
      <c r="D93" s="40"/>
      <c r="E93" s="40"/>
      <c r="F93" s="40"/>
    </row>
    <row r="94" customFormat="false" ht="14.25" hidden="false" customHeight="false" outlineLevel="0" collapsed="false">
      <c r="A94" s="40" t="s">
        <v>388</v>
      </c>
      <c r="B94" s="40" t="s">
        <v>141</v>
      </c>
      <c r="C94" s="40"/>
      <c r="D94" s="40"/>
      <c r="E94" s="40"/>
      <c r="F94" s="40"/>
    </row>
    <row r="95" customFormat="false" ht="14.25" hidden="false" customHeight="false" outlineLevel="0" collapsed="false">
      <c r="A95" s="40" t="s">
        <v>389</v>
      </c>
      <c r="B95" s="40" t="s">
        <v>141</v>
      </c>
      <c r="C95" s="40"/>
      <c r="D95" s="40"/>
      <c r="E95" s="40"/>
      <c r="F95" s="40"/>
    </row>
    <row r="96" customFormat="false" ht="14.25" hidden="false" customHeight="false" outlineLevel="0" collapsed="false">
      <c r="A96" s="40" t="s">
        <v>396</v>
      </c>
      <c r="B96" s="40" t="s">
        <v>184</v>
      </c>
      <c r="C96" s="40"/>
      <c r="D96" s="40"/>
      <c r="E96" s="40"/>
      <c r="F96" s="40"/>
    </row>
    <row r="97" customFormat="false" ht="14.25" hidden="false" customHeight="false" outlineLevel="0" collapsed="false">
      <c r="A97" s="40" t="s">
        <v>397</v>
      </c>
      <c r="B97" s="40" t="s">
        <v>149</v>
      </c>
      <c r="C97" s="40" t="s">
        <v>177</v>
      </c>
      <c r="D97" s="40"/>
      <c r="E97" s="40"/>
      <c r="F97" s="40"/>
    </row>
    <row r="98" customFormat="false" ht="14.25" hidden="false" customHeight="false" outlineLevel="0" collapsed="false">
      <c r="A98" s="40" t="s">
        <v>398</v>
      </c>
      <c r="B98" s="40" t="s">
        <v>141</v>
      </c>
      <c r="C98" s="40" t="s">
        <v>586</v>
      </c>
      <c r="D98" s="40" t="s">
        <v>177</v>
      </c>
      <c r="E98" s="40"/>
      <c r="F98" s="40"/>
    </row>
    <row r="99" customFormat="false" ht="14.25" hidden="false" customHeight="false" outlineLevel="0" collapsed="false">
      <c r="A99" s="40" t="s">
        <v>402</v>
      </c>
      <c r="B99" s="40" t="s">
        <v>149</v>
      </c>
      <c r="C99" s="40" t="s">
        <v>141</v>
      </c>
      <c r="D99" s="40" t="s">
        <v>177</v>
      </c>
      <c r="E99" s="40"/>
      <c r="F99" s="40"/>
    </row>
    <row r="100" customFormat="false" ht="14.25" hidden="false" customHeight="false" outlineLevel="0" collapsed="false">
      <c r="A100" s="40" t="s">
        <v>78</v>
      </c>
      <c r="B100" s="40" t="s">
        <v>243</v>
      </c>
      <c r="C100" s="40" t="s">
        <v>130</v>
      </c>
      <c r="D100" s="40" t="s">
        <v>207</v>
      </c>
      <c r="E100" s="40" t="s">
        <v>177</v>
      </c>
      <c r="F100" s="40" t="s">
        <v>599</v>
      </c>
    </row>
    <row r="101" customFormat="false" ht="14.25" hidden="false" customHeight="false" outlineLevel="0" collapsed="false">
      <c r="A101" s="40" t="s">
        <v>411</v>
      </c>
      <c r="B101" s="40" t="s">
        <v>141</v>
      </c>
      <c r="C101" s="40"/>
      <c r="D101" s="40"/>
      <c r="E101" s="40"/>
      <c r="F101" s="40"/>
    </row>
    <row r="102" customFormat="false" ht="14.25" hidden="false" customHeight="false" outlineLevel="0" collapsed="false">
      <c r="A102" s="40" t="s">
        <v>412</v>
      </c>
      <c r="B102" s="40" t="s">
        <v>141</v>
      </c>
      <c r="C102" s="40"/>
      <c r="D102" s="40"/>
      <c r="E102" s="40"/>
      <c r="F102" s="40"/>
    </row>
    <row r="103" customFormat="false" ht="14.25" hidden="false" customHeight="false" outlineLevel="0" collapsed="false">
      <c r="A103" s="40" t="s">
        <v>414</v>
      </c>
      <c r="B103" s="40" t="s">
        <v>149</v>
      </c>
      <c r="C103" s="40" t="s">
        <v>177</v>
      </c>
      <c r="D103" s="40"/>
      <c r="E103" s="40"/>
      <c r="F103" s="40"/>
    </row>
    <row r="104" customFormat="false" ht="14.25" hidden="false" customHeight="false" outlineLevel="0" collapsed="false">
      <c r="A104" s="40" t="s">
        <v>415</v>
      </c>
      <c r="B104" s="40" t="s">
        <v>207</v>
      </c>
      <c r="C104" s="40"/>
      <c r="D104" s="40"/>
      <c r="E104" s="40"/>
      <c r="F104" s="40"/>
    </row>
    <row r="105" customFormat="false" ht="14.25" hidden="false" customHeight="false" outlineLevel="0" collapsed="false">
      <c r="A105" s="40" t="s">
        <v>418</v>
      </c>
      <c r="B105" s="40" t="s">
        <v>419</v>
      </c>
      <c r="C105" s="40"/>
      <c r="D105" s="40"/>
      <c r="E105" s="40"/>
      <c r="F105" s="40"/>
    </row>
    <row r="106" customFormat="false" ht="14.25" hidden="false" customHeight="false" outlineLevel="0" collapsed="false">
      <c r="A106" s="40" t="s">
        <v>420</v>
      </c>
      <c r="B106" s="40" t="s">
        <v>149</v>
      </c>
      <c r="C106" s="40" t="s">
        <v>177</v>
      </c>
      <c r="D106" s="40"/>
      <c r="E106" s="40"/>
      <c r="F106" s="40"/>
    </row>
    <row r="107" customFormat="false" ht="14.25" hidden="false" customHeight="false" outlineLevel="0" collapsed="false">
      <c r="A107" s="40" t="s">
        <v>423</v>
      </c>
      <c r="B107" s="40" t="s">
        <v>149</v>
      </c>
      <c r="C107" s="40" t="s">
        <v>177</v>
      </c>
      <c r="D107" s="40"/>
      <c r="E107" s="40"/>
      <c r="F107" s="40"/>
    </row>
    <row r="108" customFormat="false" ht="14.25" hidden="false" customHeight="false" outlineLevel="0" collapsed="false">
      <c r="A108" s="40" t="s">
        <v>424</v>
      </c>
      <c r="B108" s="40" t="s">
        <v>149</v>
      </c>
      <c r="C108" s="40" t="s">
        <v>141</v>
      </c>
      <c r="D108" s="40" t="s">
        <v>177</v>
      </c>
      <c r="E108" s="40"/>
      <c r="F108" s="40"/>
    </row>
    <row r="109" customFormat="false" ht="14.25" hidden="false" customHeight="false" outlineLevel="0" collapsed="false">
      <c r="A109" s="40" t="s">
        <v>427</v>
      </c>
      <c r="B109" s="40" t="s">
        <v>149</v>
      </c>
      <c r="C109" s="40" t="s">
        <v>141</v>
      </c>
      <c r="D109" s="40" t="s">
        <v>177</v>
      </c>
      <c r="E109" s="40"/>
      <c r="F109" s="40"/>
    </row>
    <row r="110" customFormat="false" ht="14.25" hidden="false" customHeight="false" outlineLevel="0" collapsed="false">
      <c r="A110" s="40" t="s">
        <v>428</v>
      </c>
      <c r="B110" s="40" t="s">
        <v>149</v>
      </c>
      <c r="C110" s="40" t="s">
        <v>141</v>
      </c>
      <c r="D110" s="40" t="s">
        <v>177</v>
      </c>
      <c r="E110" s="40"/>
      <c r="F110" s="40"/>
    </row>
    <row r="111" customFormat="false" ht="14.25" hidden="false" customHeight="false" outlineLevel="0" collapsed="false">
      <c r="A111" s="40" t="s">
        <v>430</v>
      </c>
      <c r="B111" s="40" t="s">
        <v>149</v>
      </c>
      <c r="C111" s="40" t="s">
        <v>177</v>
      </c>
      <c r="D111" s="40"/>
      <c r="E111" s="40"/>
      <c r="F111" s="40"/>
    </row>
    <row r="112" customFormat="false" ht="14.25" hidden="false" customHeight="false" outlineLevel="0" collapsed="false">
      <c r="A112" s="40" t="s">
        <v>431</v>
      </c>
      <c r="B112" s="40" t="s">
        <v>432</v>
      </c>
      <c r="C112" s="40"/>
      <c r="D112" s="40"/>
      <c r="E112" s="40"/>
      <c r="F112" s="40"/>
    </row>
    <row r="113" customFormat="false" ht="14.25" hidden="false" customHeight="false" outlineLevel="0" collapsed="false">
      <c r="A113" s="40" t="s">
        <v>433</v>
      </c>
      <c r="B113" s="40" t="s">
        <v>141</v>
      </c>
      <c r="C113" s="40"/>
      <c r="D113" s="40"/>
      <c r="E113" s="40"/>
      <c r="F113" s="40"/>
    </row>
    <row r="114" customFormat="false" ht="14.25" hidden="false" customHeight="false" outlineLevel="0" collapsed="false">
      <c r="A114" s="40" t="s">
        <v>434</v>
      </c>
      <c r="B114" s="40" t="s">
        <v>141</v>
      </c>
      <c r="C114" s="40"/>
      <c r="D114" s="40"/>
      <c r="E114" s="40"/>
      <c r="F114" s="40"/>
    </row>
    <row r="115" customFormat="false" ht="14.25" hidden="false" customHeight="false" outlineLevel="0" collapsed="false">
      <c r="A115" s="40" t="s">
        <v>435</v>
      </c>
      <c r="B115" s="40" t="s">
        <v>177</v>
      </c>
      <c r="C115" s="40"/>
      <c r="D115" s="40"/>
      <c r="E115" s="40"/>
      <c r="F115" s="40"/>
    </row>
    <row r="116" customFormat="false" ht="14.25" hidden="false" customHeight="false" outlineLevel="0" collapsed="false">
      <c r="A116" s="40" t="s">
        <v>437</v>
      </c>
      <c r="B116" s="40" t="s">
        <v>141</v>
      </c>
      <c r="C116" s="40"/>
      <c r="D116" s="40"/>
      <c r="E116" s="40"/>
      <c r="F116" s="40"/>
    </row>
    <row r="117" customFormat="false" ht="14.25" hidden="false" customHeight="false" outlineLevel="0" collapsed="false">
      <c r="A117" s="40" t="s">
        <v>438</v>
      </c>
      <c r="B117" s="40" t="s">
        <v>141</v>
      </c>
      <c r="C117" s="40"/>
      <c r="D117" s="40"/>
      <c r="E117" s="40"/>
      <c r="F117" s="40"/>
    </row>
    <row r="118" customFormat="false" ht="14.25" hidden="false" customHeight="false" outlineLevel="0" collapsed="false">
      <c r="A118" s="40" t="s">
        <v>441</v>
      </c>
      <c r="B118" s="40" t="s">
        <v>149</v>
      </c>
      <c r="C118" s="40" t="s">
        <v>141</v>
      </c>
      <c r="D118" s="40" t="s">
        <v>177</v>
      </c>
      <c r="E118" s="40"/>
      <c r="F118" s="40"/>
    </row>
    <row r="119" customFormat="false" ht="14.25" hidden="false" customHeight="false" outlineLevel="0" collapsed="false">
      <c r="A119" s="40" t="s">
        <v>442</v>
      </c>
      <c r="B119" s="40" t="s">
        <v>149</v>
      </c>
      <c r="C119" s="40" t="s">
        <v>141</v>
      </c>
      <c r="D119" s="40" t="s">
        <v>177</v>
      </c>
      <c r="E119" s="40"/>
      <c r="F119" s="40"/>
    </row>
    <row r="120" customFormat="false" ht="14.25" hidden="false" customHeight="false" outlineLevel="0" collapsed="false">
      <c r="A120" s="40" t="s">
        <v>443</v>
      </c>
      <c r="B120" s="40" t="s">
        <v>149</v>
      </c>
      <c r="C120" s="40" t="s">
        <v>141</v>
      </c>
      <c r="D120" s="40" t="s">
        <v>177</v>
      </c>
      <c r="E120" s="40"/>
      <c r="F120" s="40"/>
    </row>
    <row r="121" customFormat="false" ht="14.25" hidden="false" customHeight="false" outlineLevel="0" collapsed="false">
      <c r="A121" s="40" t="s">
        <v>445</v>
      </c>
      <c r="B121" s="40" t="s">
        <v>600</v>
      </c>
      <c r="C121" s="40"/>
      <c r="D121" s="40"/>
      <c r="E121" s="40"/>
      <c r="F121" s="40"/>
    </row>
    <row r="122" customFormat="false" ht="14.25" hidden="false" customHeight="false" outlineLevel="0" collapsed="false">
      <c r="A122" s="40" t="s">
        <v>449</v>
      </c>
      <c r="B122" s="40" t="s">
        <v>149</v>
      </c>
      <c r="C122" s="40" t="s">
        <v>177</v>
      </c>
      <c r="D122" s="40"/>
      <c r="E122" s="40"/>
      <c r="F122" s="40"/>
    </row>
    <row r="123" customFormat="false" ht="14.25" hidden="false" customHeight="false" outlineLevel="0" collapsed="false">
      <c r="A123" s="40" t="s">
        <v>452</v>
      </c>
      <c r="B123" s="40" t="s">
        <v>149</v>
      </c>
      <c r="C123" s="40" t="s">
        <v>177</v>
      </c>
      <c r="D123" s="40"/>
      <c r="E123" s="40"/>
      <c r="F123" s="40"/>
    </row>
    <row r="124" customFormat="false" ht="14.25" hidden="false" customHeight="false" outlineLevel="0" collapsed="false">
      <c r="A124" s="40" t="s">
        <v>454</v>
      </c>
      <c r="B124" s="40"/>
      <c r="C124" s="40"/>
      <c r="D124" s="40"/>
      <c r="E124" s="40"/>
      <c r="F124" s="40"/>
    </row>
    <row r="125" customFormat="false" ht="14.25" hidden="false" customHeight="false" outlineLevel="0" collapsed="false">
      <c r="A125" s="40" t="s">
        <v>460</v>
      </c>
      <c r="B125" s="40" t="s">
        <v>184</v>
      </c>
      <c r="C125" s="40"/>
      <c r="D125" s="40"/>
      <c r="E125" s="40"/>
      <c r="F125" s="40"/>
    </row>
    <row r="126" customFormat="false" ht="14.25" hidden="false" customHeight="false" outlineLevel="0" collapsed="false">
      <c r="A126" s="40" t="s">
        <v>463</v>
      </c>
      <c r="B126" s="40" t="s">
        <v>149</v>
      </c>
      <c r="C126" s="40" t="s">
        <v>177</v>
      </c>
      <c r="D126" s="40"/>
      <c r="E126" s="40"/>
      <c r="F126" s="40"/>
    </row>
    <row r="127" customFormat="false" ht="14.25" hidden="false" customHeight="false" outlineLevel="0" collapsed="false">
      <c r="A127" s="40" t="s">
        <v>465</v>
      </c>
      <c r="B127" s="40" t="s">
        <v>141</v>
      </c>
      <c r="C127" s="40"/>
      <c r="D127" s="40"/>
      <c r="E127" s="40"/>
      <c r="F127" s="40"/>
    </row>
    <row r="128" customFormat="false" ht="14.25" hidden="false" customHeight="false" outlineLevel="0" collapsed="false">
      <c r="A128" s="40" t="s">
        <v>466</v>
      </c>
      <c r="B128" s="40"/>
      <c r="C128" s="40"/>
      <c r="D128" s="40"/>
      <c r="E128" s="40"/>
      <c r="F128" s="40"/>
    </row>
    <row r="129" customFormat="false" ht="14.25" hidden="false" customHeight="false" outlineLevel="0" collapsed="false">
      <c r="A129" s="40" t="s">
        <v>469</v>
      </c>
      <c r="B129" s="40" t="s">
        <v>149</v>
      </c>
      <c r="C129" s="40" t="s">
        <v>177</v>
      </c>
      <c r="D129" s="40"/>
      <c r="E129" s="40"/>
      <c r="F129" s="40"/>
    </row>
    <row r="130" customFormat="false" ht="14.25" hidden="false" customHeight="false" outlineLevel="0" collapsed="false">
      <c r="A130" s="40" t="s">
        <v>471</v>
      </c>
      <c r="B130" s="40" t="s">
        <v>149</v>
      </c>
      <c r="C130" s="40" t="s">
        <v>141</v>
      </c>
      <c r="D130" s="40" t="s">
        <v>177</v>
      </c>
      <c r="E130" s="40"/>
      <c r="F130" s="40"/>
    </row>
    <row r="131" customFormat="false" ht="14.25" hidden="false" customHeight="false" outlineLevel="0" collapsed="false">
      <c r="A131" s="40" t="s">
        <v>473</v>
      </c>
      <c r="B131" s="40" t="s">
        <v>243</v>
      </c>
      <c r="C131" s="40" t="s">
        <v>476</v>
      </c>
      <c r="D131" s="40" t="s">
        <v>184</v>
      </c>
      <c r="E131" s="40"/>
      <c r="F131" s="40"/>
    </row>
    <row r="132" customFormat="false" ht="14.25" hidden="false" customHeight="false" outlineLevel="0" collapsed="false">
      <c r="A132" s="40" t="s">
        <v>478</v>
      </c>
      <c r="B132" s="40" t="s">
        <v>149</v>
      </c>
      <c r="C132" s="40" t="s">
        <v>141</v>
      </c>
      <c r="D132" s="40" t="s">
        <v>177</v>
      </c>
      <c r="E132" s="40"/>
      <c r="F132" s="40"/>
    </row>
    <row r="133" customFormat="false" ht="14.25" hidden="false" customHeight="false" outlineLevel="0" collapsed="false">
      <c r="A133" s="40" t="s">
        <v>479</v>
      </c>
      <c r="B133" s="40" t="s">
        <v>303</v>
      </c>
      <c r="C133" s="40" t="s">
        <v>177</v>
      </c>
      <c r="D133" s="40"/>
      <c r="E133" s="40"/>
      <c r="F133" s="40"/>
    </row>
    <row r="134" customFormat="false" ht="14.25" hidden="false" customHeight="false" outlineLevel="0" collapsed="false">
      <c r="A134" s="40" t="s">
        <v>481</v>
      </c>
      <c r="B134" s="40" t="s">
        <v>141</v>
      </c>
      <c r="C134" s="40" t="s">
        <v>303</v>
      </c>
      <c r="D134" s="40" t="s">
        <v>601</v>
      </c>
      <c r="E134" s="40"/>
      <c r="F134" s="40"/>
    </row>
    <row r="135" customFormat="false" ht="14.25" hidden="false" customHeight="false" outlineLevel="0" collapsed="false">
      <c r="A135" s="40" t="s">
        <v>483</v>
      </c>
      <c r="B135" s="40" t="s">
        <v>141</v>
      </c>
      <c r="C135" s="40"/>
      <c r="D135" s="40"/>
      <c r="E135" s="40"/>
      <c r="F135" s="40"/>
    </row>
    <row r="136" customFormat="false" ht="14.25" hidden="false" customHeight="false" outlineLevel="0" collapsed="false">
      <c r="A136" s="40" t="s">
        <v>485</v>
      </c>
      <c r="B136" s="40" t="s">
        <v>141</v>
      </c>
      <c r="C136" s="40" t="s">
        <v>177</v>
      </c>
      <c r="D136" s="40"/>
      <c r="E136" s="40"/>
      <c r="F136" s="40"/>
    </row>
    <row r="137" customFormat="false" ht="14.25" hidden="false" customHeight="false" outlineLevel="0" collapsed="false">
      <c r="A137" s="40" t="s">
        <v>490</v>
      </c>
      <c r="B137" s="40" t="s">
        <v>149</v>
      </c>
      <c r="C137" s="40"/>
      <c r="D137" s="40"/>
      <c r="E137" s="40"/>
      <c r="F137" s="40"/>
    </row>
    <row r="138" customFormat="false" ht="14.25" hidden="false" customHeight="false" outlineLevel="0" collapsed="false">
      <c r="A138" s="40" t="s">
        <v>491</v>
      </c>
      <c r="B138" s="40" t="s">
        <v>141</v>
      </c>
      <c r="C138" s="40"/>
      <c r="D138" s="40"/>
      <c r="E138" s="40"/>
      <c r="F138" s="40"/>
    </row>
    <row r="139" customFormat="false" ht="14.25" hidden="false" customHeight="false" outlineLevel="0" collapsed="false">
      <c r="A139" s="40" t="s">
        <v>492</v>
      </c>
      <c r="B139" s="40" t="s">
        <v>141</v>
      </c>
      <c r="C139" s="40"/>
      <c r="D139" s="40"/>
      <c r="E139" s="40"/>
      <c r="F139" s="40"/>
    </row>
    <row r="140" customFormat="false" ht="14.25" hidden="false" customHeight="false" outlineLevel="0" collapsed="false">
      <c r="A140" s="40" t="s">
        <v>602</v>
      </c>
      <c r="B140" s="40" t="s">
        <v>149</v>
      </c>
      <c r="C140" s="40" t="s">
        <v>177</v>
      </c>
      <c r="D140" s="40"/>
      <c r="E140" s="40"/>
      <c r="F140" s="40"/>
    </row>
    <row r="141" customFormat="false" ht="14.25" hidden="false" customHeight="false" outlineLevel="0" collapsed="false">
      <c r="A141" s="40" t="s">
        <v>493</v>
      </c>
      <c r="B141" s="40" t="s">
        <v>592</v>
      </c>
      <c r="C141" s="40" t="s">
        <v>603</v>
      </c>
      <c r="D141" s="40" t="s">
        <v>184</v>
      </c>
      <c r="E141" s="40"/>
      <c r="F141" s="4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67c313fc-3764-4c09-a4a1-81f35edcef53}" enabled="0" method="" siteId="{67c313fc-3764-4c09-a4a1-81f35edcef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2025-04-25T12:08:53Z</dcterms:created>
  <dc:creator>Felix Romiguiere</dc:creator>
  <dc:description/>
  <dc:language>fr-FR</dc:language>
  <cp:lastModifiedBy>Ewen Le Coeur</cp:lastModifiedBy>
  <cp:lastPrinted>2025-08-28T07:50:31Z</cp:lastPrinted>
  <dcterms:modified xsi:type="dcterms:W3CDTF">2026-08-14T17:43:28Z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